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a1d82949d21ee6/Desktop/"/>
    </mc:Choice>
  </mc:AlternateContent>
  <xr:revisionPtr revIDLastSave="3" documentId="11_7416C76EF47E0A8BE866360723D2C679776697A4" xr6:coauthVersionLast="47" xr6:coauthVersionMax="47" xr10:uidLastSave="{BD837D7A-1E6A-4172-BC08-E4B042574C36}"/>
  <bookViews>
    <workbookView xWindow="-108" yWindow="-108" windowWidth="23256" windowHeight="12456" activeTab="2" xr2:uid="{00000000-000D-0000-FFFF-FFFF00000000}"/>
  </bookViews>
  <sheets>
    <sheet name="Data" sheetId="1" r:id="rId1"/>
    <sheet name="Salary Breakdown" sheetId="2" r:id="rId2"/>
    <sheet name="Investments" sheetId="3" r:id="rId3"/>
    <sheet name="Insurance" sheetId="4" r:id="rId4"/>
    <sheet name="Credit Cards" sheetId="5" r:id="rId5"/>
    <sheet name="net worth" sheetId="6" state="hidden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q1soN6ES6gMlpBf4KtyqQEpAXafn7nc6/+DxGhCXLi8="/>
    </ext>
  </extLst>
</workbook>
</file>

<file path=xl/calcChain.xml><?xml version="1.0" encoding="utf-8"?>
<calcChain xmlns="http://schemas.openxmlformats.org/spreadsheetml/2006/main">
  <c r="F43" i="6" l="1"/>
  <c r="F42" i="6"/>
  <c r="E42" i="6"/>
  <c r="D42" i="6"/>
  <c r="G42" i="6" s="1"/>
  <c r="G41" i="6"/>
  <c r="F41" i="6"/>
  <c r="E41" i="6"/>
  <c r="D41" i="6"/>
  <c r="F40" i="6"/>
  <c r="E40" i="6"/>
  <c r="D40" i="6"/>
  <c r="G40" i="6" s="1"/>
  <c r="F39" i="6"/>
  <c r="E39" i="6"/>
  <c r="G39" i="6" s="1"/>
  <c r="D39" i="6"/>
  <c r="F38" i="6"/>
  <c r="F37" i="6"/>
  <c r="E37" i="6"/>
  <c r="D37" i="6"/>
  <c r="G37" i="6" s="1"/>
  <c r="F36" i="6"/>
  <c r="E36" i="6"/>
  <c r="D36" i="6"/>
  <c r="G36" i="6" s="1"/>
  <c r="F35" i="6"/>
  <c r="E35" i="6"/>
  <c r="D35" i="6"/>
  <c r="G35" i="6" s="1"/>
  <c r="F34" i="6"/>
  <c r="E34" i="6"/>
  <c r="D34" i="6"/>
  <c r="G34" i="6" s="1"/>
  <c r="G33" i="6"/>
  <c r="F33" i="6"/>
  <c r="E33" i="6"/>
  <c r="D33" i="6"/>
  <c r="F32" i="6"/>
  <c r="E32" i="6"/>
  <c r="E38" i="6" s="1"/>
  <c r="E43" i="6" s="1"/>
  <c r="D32" i="6"/>
  <c r="G32" i="6" s="1"/>
  <c r="G31" i="6"/>
  <c r="F31" i="6"/>
  <c r="E31" i="6"/>
  <c r="D31" i="6"/>
  <c r="F29" i="6"/>
  <c r="E29" i="6"/>
  <c r="D29" i="6"/>
  <c r="G29" i="6" s="1"/>
  <c r="G28" i="6"/>
  <c r="F28" i="6"/>
  <c r="E28" i="6"/>
  <c r="D28" i="6"/>
  <c r="F27" i="6"/>
  <c r="E27" i="6"/>
  <c r="G27" i="6" s="1"/>
  <c r="D27" i="6"/>
  <c r="F26" i="6"/>
  <c r="E26" i="6"/>
  <c r="D26" i="6"/>
  <c r="G26" i="6" s="1"/>
  <c r="G25" i="6"/>
  <c r="F25" i="6"/>
  <c r="E25" i="6"/>
  <c r="D25" i="6"/>
  <c r="F24" i="6"/>
  <c r="E24" i="6"/>
  <c r="D24" i="6"/>
  <c r="G24" i="6" s="1"/>
  <c r="F23" i="6"/>
  <c r="E23" i="6"/>
  <c r="G23" i="6" s="1"/>
  <c r="D23" i="6"/>
  <c r="F22" i="6"/>
  <c r="G22" i="6" s="1"/>
  <c r="E22" i="6"/>
  <c r="D22" i="6"/>
  <c r="F21" i="6"/>
  <c r="E21" i="6"/>
  <c r="D21" i="6"/>
  <c r="G21" i="6" s="1"/>
  <c r="F20" i="6"/>
  <c r="E20" i="6"/>
  <c r="D20" i="6"/>
  <c r="G20" i="6" s="1"/>
  <c r="F19" i="6"/>
  <c r="E19" i="6"/>
  <c r="D19" i="6"/>
  <c r="G19" i="6" s="1"/>
  <c r="F18" i="6"/>
  <c r="E18" i="6"/>
  <c r="D18" i="6"/>
  <c r="G18" i="6" s="1"/>
  <c r="G17" i="6"/>
  <c r="F17" i="6"/>
  <c r="E17" i="6"/>
  <c r="D17" i="6"/>
  <c r="F16" i="6"/>
  <c r="F30" i="6" s="1"/>
  <c r="E16" i="6"/>
  <c r="D16" i="6"/>
  <c r="G16" i="6" s="1"/>
  <c r="G15" i="6"/>
  <c r="F15" i="6"/>
  <c r="E15" i="6"/>
  <c r="E30" i="6" s="1"/>
  <c r="D15" i="6"/>
  <c r="D30" i="6" s="1"/>
  <c r="G30" i="6" s="1"/>
  <c r="F14" i="6"/>
  <c r="F13" i="6"/>
  <c r="E13" i="6"/>
  <c r="D13" i="6"/>
  <c r="G13" i="6" s="1"/>
  <c r="G12" i="6"/>
  <c r="F12" i="6"/>
  <c r="E12" i="6"/>
  <c r="D12" i="6"/>
  <c r="D14" i="6" s="1"/>
  <c r="G14" i="6" s="1"/>
  <c r="F11" i="6"/>
  <c r="E11" i="6"/>
  <c r="E14" i="6" s="1"/>
  <c r="D11" i="6"/>
  <c r="D10" i="6"/>
  <c r="G9" i="6"/>
  <c r="F9" i="6"/>
  <c r="E9" i="6"/>
  <c r="D9" i="6"/>
  <c r="F8" i="6"/>
  <c r="E8" i="6"/>
  <c r="D8" i="6"/>
  <c r="G8" i="6" s="1"/>
  <c r="F7" i="6"/>
  <c r="E7" i="6"/>
  <c r="G7" i="6" s="1"/>
  <c r="D7" i="6"/>
  <c r="F6" i="6"/>
  <c r="G6" i="6" s="1"/>
  <c r="E6" i="6"/>
  <c r="D6" i="6"/>
  <c r="F5" i="6"/>
  <c r="E5" i="6"/>
  <c r="E10" i="6" s="1"/>
  <c r="D5" i="6"/>
  <c r="G5" i="6" s="1"/>
  <c r="F30" i="4"/>
  <c r="B26" i="4"/>
  <c r="B27" i="4" s="1"/>
  <c r="K20" i="4"/>
  <c r="J20" i="4"/>
  <c r="I20" i="4"/>
  <c r="E20" i="4"/>
  <c r="B17" i="4"/>
  <c r="K16" i="4"/>
  <c r="J16" i="4"/>
  <c r="I16" i="4"/>
  <c r="E16" i="4"/>
  <c r="B13" i="4"/>
  <c r="K12" i="4"/>
  <c r="J12" i="4"/>
  <c r="I12" i="4"/>
  <c r="E12" i="4"/>
  <c r="B9" i="4"/>
  <c r="K8" i="4"/>
  <c r="J8" i="4"/>
  <c r="I8" i="4"/>
  <c r="E8" i="4"/>
  <c r="B3" i="4"/>
  <c r="D76" i="3"/>
  <c r="K60" i="3"/>
  <c r="F60" i="3"/>
  <c r="E60" i="3"/>
  <c r="J47" i="3"/>
  <c r="H47" i="3"/>
  <c r="F47" i="3"/>
  <c r="F32" i="3"/>
  <c r="E32" i="3"/>
  <c r="K13" i="3"/>
  <c r="F13" i="3"/>
  <c r="E13" i="3"/>
  <c r="C6" i="2"/>
  <c r="C5" i="2"/>
  <c r="F145" i="1"/>
  <c r="E145" i="1"/>
  <c r="D145" i="1"/>
  <c r="F140" i="1"/>
  <c r="E140" i="1"/>
  <c r="D140" i="1"/>
  <c r="F130" i="1"/>
  <c r="E130" i="1"/>
  <c r="D130" i="1"/>
  <c r="F114" i="1"/>
  <c r="E114" i="1"/>
  <c r="D114" i="1"/>
  <c r="F110" i="1"/>
  <c r="E110" i="1"/>
  <c r="D110" i="1"/>
  <c r="E104" i="1"/>
  <c r="E4" i="6" s="1"/>
  <c r="D104" i="1"/>
  <c r="D4" i="6" s="1"/>
  <c r="D99" i="1"/>
  <c r="E99" i="1" s="1"/>
  <c r="E98" i="1"/>
  <c r="E97" i="1"/>
  <c r="E96" i="1"/>
  <c r="E95" i="1"/>
  <c r="E94" i="1"/>
  <c r="F94" i="1" s="1"/>
  <c r="E93" i="1"/>
  <c r="D90" i="1"/>
  <c r="E89" i="1"/>
  <c r="E88" i="1"/>
  <c r="E87" i="1"/>
  <c r="E90" i="1" s="1"/>
  <c r="E86" i="1"/>
  <c r="D86" i="1"/>
  <c r="E85" i="1"/>
  <c r="E84" i="1"/>
  <c r="E83" i="1"/>
  <c r="D82" i="1"/>
  <c r="D91" i="1" s="1"/>
  <c r="E81" i="1"/>
  <c r="E80" i="1"/>
  <c r="E82" i="1" s="1"/>
  <c r="E79" i="1"/>
  <c r="D79" i="1"/>
  <c r="E78" i="1"/>
  <c r="F78" i="1" s="1"/>
  <c r="E77" i="1"/>
  <c r="F77" i="1" s="1"/>
  <c r="E76" i="1"/>
  <c r="E75" i="1"/>
  <c r="E74" i="1"/>
  <c r="E73" i="1"/>
  <c r="D73" i="1"/>
  <c r="E72" i="1"/>
  <c r="E71" i="1"/>
  <c r="E70" i="1"/>
  <c r="E69" i="1"/>
  <c r="E68" i="1"/>
  <c r="E67" i="1"/>
  <c r="E62" i="1"/>
  <c r="D62" i="1"/>
  <c r="F62" i="1" s="1"/>
  <c r="F61" i="1"/>
  <c r="F60" i="1"/>
  <c r="F59" i="1"/>
  <c r="F58" i="1"/>
  <c r="F57" i="1"/>
  <c r="F56" i="1"/>
  <c r="E55" i="1"/>
  <c r="D55" i="1"/>
  <c r="C36" i="1"/>
  <c r="C29" i="1"/>
  <c r="H25" i="1"/>
  <c r="G25" i="1"/>
  <c r="F25" i="1"/>
  <c r="D25" i="1"/>
  <c r="C25" i="1"/>
  <c r="C13" i="1"/>
  <c r="F98" i="1" l="1"/>
  <c r="F68" i="1"/>
  <c r="F69" i="1"/>
  <c r="F85" i="1"/>
  <c r="F99" i="1"/>
  <c r="F84" i="1"/>
  <c r="F73" i="1"/>
  <c r="F96" i="1"/>
  <c r="F75" i="1"/>
  <c r="F86" i="1"/>
  <c r="F79" i="1"/>
  <c r="F72" i="1"/>
  <c r="F97" i="1"/>
  <c r="F74" i="1"/>
  <c r="F83" i="1"/>
  <c r="F76" i="1"/>
  <c r="F95" i="1"/>
  <c r="F93" i="1"/>
  <c r="F82" i="1"/>
  <c r="F81" i="1"/>
  <c r="F70" i="1"/>
  <c r="F71" i="1"/>
  <c r="E91" i="1"/>
  <c r="F91" i="1" s="1"/>
  <c r="F90" i="1"/>
  <c r="F88" i="1"/>
  <c r="F67" i="1"/>
  <c r="F89" i="1"/>
  <c r="F10" i="6"/>
  <c r="G10" i="6" s="1"/>
  <c r="G11" i="6"/>
  <c r="D38" i="6"/>
  <c r="F80" i="1"/>
  <c r="F87" i="1"/>
  <c r="E92" i="1" l="1"/>
  <c r="D43" i="6"/>
  <c r="G38" i="6"/>
  <c r="G43" i="6" l="1"/>
  <c r="H38" i="6"/>
  <c r="H43" i="6" s="1"/>
  <c r="F92" i="1"/>
  <c r="D92" i="1"/>
  <c r="D100" i="1" s="1"/>
  <c r="E100" i="1" s="1"/>
  <c r="F100" i="1" s="1"/>
  <c r="H28" i="6" l="1"/>
  <c r="H12" i="6"/>
  <c r="H31" i="6"/>
  <c r="H15" i="6"/>
  <c r="H7" i="6"/>
  <c r="H42" i="6"/>
  <c r="H16" i="6"/>
  <c r="H29" i="6"/>
  <c r="H22" i="6"/>
  <c r="H23" i="6"/>
  <c r="H18" i="6"/>
  <c r="H32" i="6"/>
  <c r="H13" i="6"/>
  <c r="H8" i="6"/>
  <c r="H37" i="6"/>
  <c r="H27" i="6"/>
  <c r="H35" i="6"/>
  <c r="H30" i="6"/>
  <c r="H25" i="6"/>
  <c r="H36" i="6"/>
  <c r="H41" i="6"/>
  <c r="H17" i="6"/>
  <c r="H14" i="6"/>
  <c r="H40" i="6"/>
  <c r="H33" i="6"/>
  <c r="H19" i="6"/>
  <c r="H24" i="6"/>
  <c r="H5" i="6"/>
  <c r="H20" i="6"/>
  <c r="H21" i="6"/>
  <c r="H39" i="6"/>
  <c r="H6" i="6"/>
  <c r="H26" i="6"/>
  <c r="H34" i="6"/>
  <c r="H9" i="6"/>
  <c r="H10" i="6"/>
  <c r="H11" i="6"/>
</calcChain>
</file>

<file path=xl/sharedStrings.xml><?xml version="1.0" encoding="utf-8"?>
<sst xmlns="http://schemas.openxmlformats.org/spreadsheetml/2006/main" count="345" uniqueCount="234">
  <si>
    <t>s</t>
  </si>
  <si>
    <t>Data Collection Sheet</t>
  </si>
  <si>
    <t>Personal Details</t>
  </si>
  <si>
    <t>Particulars</t>
  </si>
  <si>
    <t>Self</t>
  </si>
  <si>
    <t>Spouse</t>
  </si>
  <si>
    <t>Name</t>
  </si>
  <si>
    <t xml:space="preserve">Partha Lalit </t>
  </si>
  <si>
    <t>NA</t>
  </si>
  <si>
    <t>Work Details</t>
  </si>
  <si>
    <t>Private Sector Job</t>
  </si>
  <si>
    <t>Designation</t>
  </si>
  <si>
    <t xml:space="preserve">Associate Engineer- Technology </t>
  </si>
  <si>
    <t xml:space="preserve">Company </t>
  </si>
  <si>
    <t xml:space="preserve">IRIS Software Technologies Pvt Ltd </t>
  </si>
  <si>
    <t>Work Experience (in years)</t>
  </si>
  <si>
    <t>Health History</t>
  </si>
  <si>
    <t>Fit</t>
  </si>
  <si>
    <r>
      <rPr>
        <b/>
        <sz val="10"/>
        <color theme="1"/>
        <rFont val="Calibri"/>
      </rPr>
      <t xml:space="preserve">Date of Birth </t>
    </r>
    <r>
      <rPr>
        <sz val="10"/>
        <color rgb="FF000000"/>
        <rFont val="Calibri"/>
      </rPr>
      <t>(dd/mm/yyyy)</t>
    </r>
  </si>
  <si>
    <t>Current Age (Auto update)</t>
  </si>
  <si>
    <t>Mobile No.</t>
  </si>
  <si>
    <t>Email ID</t>
  </si>
  <si>
    <t>12parthlalit@gmail.com</t>
  </si>
  <si>
    <t>Communication Address</t>
  </si>
  <si>
    <t>2/55, Bhagwati HSG SOC, Sai Nagar, Near RTO Office, Kuwarbav, Ratnagiri -415612</t>
  </si>
  <si>
    <t>Financial Freedom
(targeted age)</t>
  </si>
  <si>
    <t>Family Details</t>
  </si>
  <si>
    <t>Child-1</t>
  </si>
  <si>
    <t>Child-2</t>
  </si>
  <si>
    <t>Father</t>
  </si>
  <si>
    <t>Mother</t>
  </si>
  <si>
    <t>Father in Law</t>
  </si>
  <si>
    <t>Mother in Law</t>
  </si>
  <si>
    <t xml:space="preserve">Anagha Lalit </t>
  </si>
  <si>
    <t>Current Status</t>
  </si>
  <si>
    <t>Financially Dependent</t>
  </si>
  <si>
    <r>
      <rPr>
        <b/>
        <sz val="10"/>
        <color theme="1"/>
        <rFont val="Calibri"/>
      </rPr>
      <t xml:space="preserve">Date of Birth </t>
    </r>
    <r>
      <rPr>
        <sz val="10"/>
        <color rgb="FF000000"/>
        <rFont val="Calibri"/>
      </rPr>
      <t>(dd/mm/yyyy)</t>
    </r>
  </si>
  <si>
    <t>Major Goals</t>
  </si>
  <si>
    <t>Children's Future</t>
  </si>
  <si>
    <t>Child-1 Name</t>
  </si>
  <si>
    <t>Goal</t>
  </si>
  <si>
    <t>Graduation</t>
  </si>
  <si>
    <t>Post Graduation</t>
  </si>
  <si>
    <t>Marriage</t>
  </si>
  <si>
    <t>Others</t>
  </si>
  <si>
    <t>Goal Age</t>
  </si>
  <si>
    <t>Current Value</t>
  </si>
  <si>
    <t>Priority (H/M/L)</t>
  </si>
  <si>
    <t>Child-2 Name</t>
  </si>
  <si>
    <t>Other Goals</t>
  </si>
  <si>
    <t>Yes/No</t>
  </si>
  <si>
    <t>Timeframe</t>
  </si>
  <si>
    <t>Amount</t>
  </si>
  <si>
    <t>International Vacation</t>
  </si>
  <si>
    <t>Car Purchase</t>
  </si>
  <si>
    <t>House Purchase</t>
  </si>
  <si>
    <t>Home Renovation</t>
  </si>
  <si>
    <t>Family Gifting</t>
  </si>
  <si>
    <t>Charity</t>
  </si>
  <si>
    <t>Child-birth Expenses</t>
  </si>
  <si>
    <t>Big Purchases</t>
  </si>
  <si>
    <t>Inflows</t>
  </si>
  <si>
    <t>Annual Incomes</t>
  </si>
  <si>
    <t>Total</t>
  </si>
  <si>
    <t>Salary Income (Post Tax, in hand annual salary)</t>
  </si>
  <si>
    <t>ESOPs / RSU (as part of CTC)</t>
  </si>
  <si>
    <t>Performance Bonus (Post Tax, in hand annual bonus)</t>
  </si>
  <si>
    <t>Reimbursements</t>
  </si>
  <si>
    <t>Business Income (Net Profit)</t>
  </si>
  <si>
    <t>Rental Income</t>
  </si>
  <si>
    <t>Total Income</t>
  </si>
  <si>
    <t>Expected Increase in Income (%)</t>
  </si>
  <si>
    <t>Outflows</t>
  </si>
  <si>
    <t>Monthly</t>
  </si>
  <si>
    <t>Annual</t>
  </si>
  <si>
    <t>% of Income</t>
  </si>
  <si>
    <t>Food &amp; Grocery</t>
  </si>
  <si>
    <t>House Rent / Maintenance / Repair</t>
  </si>
  <si>
    <t>Conveyance, Fuel &amp; Maintenance</t>
  </si>
  <si>
    <t>Medicines / Doctor / Healthcare</t>
  </si>
  <si>
    <t>Electricity / Water / Labour / AMCs</t>
  </si>
  <si>
    <t>Mobile / Telephone / Internet</t>
  </si>
  <si>
    <t>Household Expenses</t>
  </si>
  <si>
    <t>Clothes &amp; Accessories</t>
  </si>
  <si>
    <t>Shopping, Gifts, Whitegoods, Gadgets</t>
  </si>
  <si>
    <t>Dining / Movies / Sports</t>
  </si>
  <si>
    <t>Personal Care / Others</t>
  </si>
  <si>
    <t>Travel &amp; Annual Vacations</t>
  </si>
  <si>
    <t>Lifestyle Expenses</t>
  </si>
  <si>
    <t>Children's Schooling/College Expenses</t>
  </si>
  <si>
    <t>Contribution to Parents, Siblings etc</t>
  </si>
  <si>
    <t>Dependent Expenses</t>
  </si>
  <si>
    <t>Life Insurance (Term)</t>
  </si>
  <si>
    <t>Mediclaim/PA/CI</t>
  </si>
  <si>
    <t>Motor Insurance</t>
  </si>
  <si>
    <t>Pure Insurance Premiums</t>
  </si>
  <si>
    <t>Home Loan EMIs</t>
  </si>
  <si>
    <t>Vehicle Loan EMIs</t>
  </si>
  <si>
    <t>Personal Loan EMIs</t>
  </si>
  <si>
    <t>Loan Servicing</t>
  </si>
  <si>
    <t>Net Outflows</t>
  </si>
  <si>
    <t>Savings (Inflows-Outflows)</t>
  </si>
  <si>
    <t>PPF</t>
  </si>
  <si>
    <t>Recurring Deposits (RDs)</t>
  </si>
  <si>
    <t>NPS Tier I Contribution</t>
  </si>
  <si>
    <t>Sukanya Samridhi Yojana</t>
  </si>
  <si>
    <t>Insurance Premiums (Investments)</t>
  </si>
  <si>
    <t>Mutual Fund SIPs</t>
  </si>
  <si>
    <t>Regular Monthly Investments</t>
  </si>
  <si>
    <t>Surplus (Savings-Investments)</t>
  </si>
  <si>
    <t>Lifestyle Inflation</t>
  </si>
  <si>
    <t>Assets</t>
  </si>
  <si>
    <t>Joint/Others</t>
  </si>
  <si>
    <t>Residential Property</t>
  </si>
  <si>
    <t>Vehicle</t>
  </si>
  <si>
    <t>Jewellery (excluding gold coins)</t>
  </si>
  <si>
    <t>Inheritance of Wealth Expected</t>
  </si>
  <si>
    <t>Personal Assets</t>
  </si>
  <si>
    <t>Savings Bank/Cash in Hand</t>
  </si>
  <si>
    <t>Fixed Deposits</t>
  </si>
  <si>
    <t>Recurring Deposits</t>
  </si>
  <si>
    <t>Total Liquid Assets</t>
  </si>
  <si>
    <t>Receivables from Friends &amp; Family</t>
  </si>
  <si>
    <t>PPF (Public Provident Fund)</t>
  </si>
  <si>
    <t>Sukanya Samridhi Yojna</t>
  </si>
  <si>
    <r>
      <rPr>
        <sz val="10"/>
        <color theme="1"/>
        <rFont val="Calibri"/>
      </rPr>
      <t xml:space="preserve">National Pension Scheme (Tier I)
</t>
    </r>
    <r>
      <rPr>
        <b/>
        <sz val="10"/>
        <color rgb="FF1AA89D"/>
        <rFont val="Calibri"/>
      </rPr>
      <t>Active Choice or Auto Choice &amp; Asset Allocation</t>
    </r>
  </si>
  <si>
    <t>If Applicable, please share whether you have opted for Active Choice or Auto Choice in NPS. Also share the asset allocation opted in NPS</t>
  </si>
  <si>
    <r>
      <rPr>
        <sz val="10"/>
        <color theme="1"/>
        <rFont val="Calibri"/>
      </rPr>
      <t xml:space="preserve">National Pension Scheme (Tier II)
</t>
    </r>
    <r>
      <rPr>
        <b/>
        <sz val="10"/>
        <color rgb="FF1AA89D"/>
        <rFont val="Calibri"/>
      </rPr>
      <t>Active Choice or Auto Choice &amp; Asset Allocation</t>
    </r>
  </si>
  <si>
    <t>Employees' Provident Fund (EPF)</t>
  </si>
  <si>
    <t>RBI Fixed / Floating Rate Bonds</t>
  </si>
  <si>
    <t>Market Linked Debentures</t>
  </si>
  <si>
    <t>National Savings Certificate</t>
  </si>
  <si>
    <t>Post Office Monthly Income Scheme</t>
  </si>
  <si>
    <t>Kisan Vikas Patra</t>
  </si>
  <si>
    <t>Senior Citizen Savings Scheme</t>
  </si>
  <si>
    <t>Debt Mutual Funds</t>
  </si>
  <si>
    <t>Traditional Insurance Policies (Surrender Value)</t>
  </si>
  <si>
    <t>Bonds/Debentures/CDs</t>
  </si>
  <si>
    <t>Total Debt Assets</t>
  </si>
  <si>
    <t>Employer Stock (ESOP, ESPP, RSU)</t>
  </si>
  <si>
    <t>Stocks - (India) - DIY</t>
  </si>
  <si>
    <t>Stocks - (Global) - DIY</t>
  </si>
  <si>
    <t>Employer Stocks (vested)</t>
  </si>
  <si>
    <t>Equity Mutual Funds</t>
  </si>
  <si>
    <t>Hybrid Mutual Funds</t>
  </si>
  <si>
    <t>Direct Stocks - Smallcase</t>
  </si>
  <si>
    <t>Portfolio Management Services - Direct Stocks</t>
  </si>
  <si>
    <t>Unit-linked Insurance Policies (Surrender Value)</t>
  </si>
  <si>
    <t>Total Equity Assets</t>
  </si>
  <si>
    <t>Gold / Silver (ETFs/Bars/Coins/Digital)</t>
  </si>
  <si>
    <t>Sovereign Gold Bonds</t>
  </si>
  <si>
    <t>Real Estate Investments</t>
  </si>
  <si>
    <t>Crypto Currency (Speculative)</t>
  </si>
  <si>
    <t>Total Investment Assets</t>
  </si>
  <si>
    <t>Liabilities</t>
  </si>
  <si>
    <t>Outstanding Balance</t>
  </si>
  <si>
    <t>Balance Term</t>
  </si>
  <si>
    <t>Interest Rate</t>
  </si>
  <si>
    <t>EMI</t>
  </si>
  <si>
    <t>Home Loan</t>
  </si>
  <si>
    <t>Vehicle Loan</t>
  </si>
  <si>
    <t>Personal Loan</t>
  </si>
  <si>
    <t>Other Loans</t>
  </si>
  <si>
    <t>We may require these documents, we will let you know</t>
  </si>
  <si>
    <t>Insurance Policy Documents (Health, Term Plan, Endowment, Money Back, ULIPs)</t>
  </si>
  <si>
    <t>Equity Portfolio Statements (Direct Stocks)</t>
  </si>
  <si>
    <t>Mutual Fund Portfolio Statements (Common Account Statement)</t>
  </si>
  <si>
    <t>Please share the following</t>
  </si>
  <si>
    <t>Latest Salary Slip</t>
  </si>
  <si>
    <t>Salary Breakdown</t>
  </si>
  <si>
    <t>Basic Salary (per annum)</t>
  </si>
  <si>
    <t>Employee's Contribution towards Provident Fund</t>
  </si>
  <si>
    <t>Employer's Contribution towards Provident Fund</t>
  </si>
  <si>
    <t>Have you opted for Voluntary Provident Fund</t>
  </si>
  <si>
    <t xml:space="preserve"> No</t>
  </si>
  <si>
    <t>Yes / No</t>
  </si>
  <si>
    <t>Amount of VPF / annum</t>
  </si>
  <si>
    <t>Does your employer provide the option of opting for NPS</t>
  </si>
  <si>
    <t>Variable Pay (per annum)</t>
  </si>
  <si>
    <t>CTC (including variable pay)</t>
  </si>
  <si>
    <r>
      <rPr>
        <sz val="20"/>
        <color rgb="FF292562"/>
        <rFont val="Calibri"/>
      </rPr>
      <t xml:space="preserve">Current Mutual Funds
</t>
    </r>
    <r>
      <rPr>
        <sz val="15"/>
        <color rgb="FF3484C9"/>
        <rFont val="Calibri"/>
      </rPr>
      <t>It's easier to download a consolidated PDF from CAMS Website, use below link - detailed, non-zero balance folios, appropriate range of dates, email, PAN, enter password - once you receive the CAS on email - forward it to us with password</t>
    </r>
  </si>
  <si>
    <t>https://www.camsonline.com/Investors/Statements/Consolidated-Account-Statement</t>
  </si>
  <si>
    <t>Sr. No.</t>
  </si>
  <si>
    <t>Fund Name</t>
  </si>
  <si>
    <t>Investment Date</t>
  </si>
  <si>
    <t>Investment Value</t>
  </si>
  <si>
    <t>Units</t>
  </si>
  <si>
    <t>Folio No</t>
  </si>
  <si>
    <t>Investor Name</t>
  </si>
  <si>
    <t>SIP Amount</t>
  </si>
  <si>
    <t>Current Equity Portfolio</t>
  </si>
  <si>
    <t>Script Name</t>
  </si>
  <si>
    <t>No of Shares</t>
  </si>
  <si>
    <t>Current Debt Instruments</t>
  </si>
  <si>
    <t>Instrument</t>
  </si>
  <si>
    <t>Company</t>
  </si>
  <si>
    <t>Interest</t>
  </si>
  <si>
    <t>Maturity Date</t>
  </si>
  <si>
    <t>Maturity Value</t>
  </si>
  <si>
    <t>Current Offshore Investments</t>
  </si>
  <si>
    <t>Fund/ETF/Bond Name</t>
  </si>
  <si>
    <t>Fixed Deposit Schedule</t>
  </si>
  <si>
    <t>Bank Name</t>
  </si>
  <si>
    <t>Principal</t>
  </si>
  <si>
    <t>HDFC Bank</t>
  </si>
  <si>
    <t>Partha Lalit</t>
  </si>
  <si>
    <t>Current Life Insurance Policies</t>
  </si>
  <si>
    <t>Policy Name</t>
  </si>
  <si>
    <t>Type</t>
  </si>
  <si>
    <t>Premium (pa)</t>
  </si>
  <si>
    <t>PPT</t>
  </si>
  <si>
    <t>Start Date</t>
  </si>
  <si>
    <t>Life Cover</t>
  </si>
  <si>
    <t>Surrender Value</t>
  </si>
  <si>
    <t>Riders</t>
  </si>
  <si>
    <t>Nominee</t>
  </si>
  <si>
    <t>Current General Insurance Policies</t>
  </si>
  <si>
    <t>Sum Insured</t>
  </si>
  <si>
    <t>Annual Premium</t>
  </si>
  <si>
    <t>Insured</t>
  </si>
  <si>
    <t>Renewal Date</t>
  </si>
  <si>
    <t>Health Insurance</t>
  </si>
  <si>
    <t>Critical Illness</t>
  </si>
  <si>
    <t>Personal Accident</t>
  </si>
  <si>
    <t>Group Mediclaim</t>
  </si>
  <si>
    <t>Group Personal Accident</t>
  </si>
  <si>
    <t>Total Premium</t>
  </si>
  <si>
    <t>Credit Cards</t>
  </si>
  <si>
    <t>Name of the card</t>
  </si>
  <si>
    <t xml:space="preserve">HDFC BizFirst </t>
  </si>
  <si>
    <t>ICICI MMT</t>
  </si>
  <si>
    <t>% Allocation</t>
  </si>
  <si>
    <r>
      <rPr>
        <sz val="10"/>
        <color theme="1"/>
        <rFont val="Calibri"/>
      </rPr>
      <t xml:space="preserve">National Pension Scheme (Tier I)
</t>
    </r>
    <r>
      <rPr>
        <b/>
        <sz val="10"/>
        <color rgb="FF1AA89D"/>
        <rFont val="Calibri"/>
      </rPr>
      <t>Active Choice or Auto Choice &amp; Asset Allocation</t>
    </r>
  </si>
  <si>
    <r>
      <rPr>
        <sz val="10"/>
        <color theme="1"/>
        <rFont val="Calibri"/>
      </rPr>
      <t xml:space="preserve">National Pension Scheme (Tier II)
</t>
    </r>
    <r>
      <rPr>
        <b/>
        <sz val="10"/>
        <color rgb="FF1AA89D"/>
        <rFont val="Calibri"/>
      </rPr>
      <t>Active Choice or Auto Choice &amp; Asset Allocation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</si>
</sst>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[$₹-4009]\ * #,##0.00_ ;_ [$₹-4009]\ * \-#,##0.00_ ;_ [$₹-4009]\ * &quot;-&quot;??_ ;_ @_ "/>
    <numFmt numFmtId="165" formatCode="0.0"/>
    <numFmt numFmtId="166" formatCode="[$-409]d/mmm/yy"/>
    <numFmt numFmtId="167" formatCode="0.0%"/>
    <numFmt numFmtId="168" formatCode="_ * #,##0_ ;_ * \-#,##0_ ;_ * &quot;-&quot;??_ ;_ @_ "/>
    <numFmt numFmtId="169" formatCode="mm/dd/yyyy"/>
    <numFmt numFmtId="170" formatCode="yyyy"/>
  </numFmts>
  <fonts count="22" x14ac:knownFonts="1">
    <font>
      <sz val="11"/>
      <color rgb="FF000000"/>
      <name val="Arial"/>
      <scheme val="minor"/>
    </font>
    <font>
      <sz val="16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1"/>
      <name val="Arial"/>
    </font>
    <font>
      <b/>
      <sz val="14"/>
      <color rgb="FF292562"/>
      <name val="Calibri"/>
    </font>
    <font>
      <b/>
      <sz val="10"/>
      <color theme="1"/>
      <name val="Calibri"/>
    </font>
    <font>
      <u/>
      <sz val="11"/>
      <color theme="1"/>
      <name val="Calibri"/>
    </font>
    <font>
      <b/>
      <sz val="11"/>
      <color theme="1"/>
      <name val="Calibri"/>
    </font>
    <font>
      <b/>
      <sz val="10"/>
      <color rgb="FF1AA89D"/>
      <name val="Calibri"/>
    </font>
    <font>
      <sz val="11"/>
      <color theme="1"/>
      <name val="Arial"/>
      <scheme val="minor"/>
    </font>
    <font>
      <b/>
      <sz val="10"/>
      <color rgb="FF3484C9"/>
      <name val="Calibri"/>
    </font>
    <font>
      <sz val="14"/>
      <color theme="1"/>
      <name val="Calibri"/>
    </font>
    <font>
      <sz val="20"/>
      <color rgb="FF292562"/>
      <name val="Calibri"/>
    </font>
    <font>
      <sz val="20"/>
      <color rgb="FFC80000"/>
      <name val="Calibri"/>
    </font>
    <font>
      <u/>
      <sz val="11"/>
      <color rgb="FF0000FF"/>
      <name val="Calibri"/>
    </font>
    <font>
      <sz val="8"/>
      <color theme="1"/>
      <name val="Calibri"/>
    </font>
    <font>
      <b/>
      <sz val="8"/>
      <color theme="1"/>
      <name val="Calibri"/>
    </font>
    <font>
      <b/>
      <sz val="8"/>
      <color rgb="FF1AA89D"/>
      <name val="Calibri"/>
    </font>
    <font>
      <sz val="16"/>
      <color rgb="FF292562"/>
      <name val="Calibri"/>
    </font>
    <font>
      <sz val="10"/>
      <color rgb="FF000000"/>
      <name val="Calibri"/>
    </font>
    <font>
      <sz val="15"/>
      <color rgb="FF3484C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A89D"/>
        <bgColor rgb="FF1AA89D"/>
      </patternFill>
    </fill>
    <fill>
      <patternFill patternType="solid">
        <fgColor rgb="FFFDE9D9"/>
        <bgColor rgb="FFFDE9D9"/>
      </patternFill>
    </fill>
    <fill>
      <patternFill patternType="solid">
        <fgColor rgb="FF3484C9"/>
        <bgColor rgb="FF3484C9"/>
      </patternFill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3484C9"/>
      </left>
      <right style="thin">
        <color rgb="FF3484C9"/>
      </right>
      <top style="thin">
        <color rgb="FF3484C9"/>
      </top>
      <bottom style="thin">
        <color rgb="FF3484C9"/>
      </bottom>
      <diagonal/>
    </border>
    <border>
      <left style="thin">
        <color rgb="FF3484C9"/>
      </left>
      <right/>
      <top style="thin">
        <color rgb="FF3484C9"/>
      </top>
      <bottom style="thin">
        <color rgb="FF3484C9"/>
      </bottom>
      <diagonal/>
    </border>
    <border>
      <left/>
      <right style="thin">
        <color rgb="FF3484C9"/>
      </right>
      <top style="thin">
        <color rgb="FF3484C9"/>
      </top>
      <bottom style="thin">
        <color rgb="FF3484C9"/>
      </bottom>
      <diagonal/>
    </border>
    <border>
      <left/>
      <right/>
      <top style="thin">
        <color rgb="FF3484C9"/>
      </top>
      <bottom style="thin">
        <color rgb="FF3484C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3484C9"/>
      </bottom>
      <diagonal/>
    </border>
    <border>
      <left/>
      <right/>
      <top/>
      <bottom style="hair">
        <color rgb="FFC8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0" fontId="10" fillId="0" borderId="0" xfId="0" applyFont="1"/>
    <xf numFmtId="3" fontId="6" fillId="0" borderId="3" xfId="0" applyNumberFormat="1" applyFont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vertical="center" wrapText="1"/>
    </xf>
    <xf numFmtId="3" fontId="9" fillId="0" borderId="3" xfId="0" applyNumberFormat="1" applyFont="1" applyBorder="1" applyAlignment="1">
      <alignment vertical="center" wrapText="1"/>
    </xf>
    <xf numFmtId="9" fontId="9" fillId="0" borderId="3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vertical="center" wrapText="1"/>
    </xf>
    <xf numFmtId="9" fontId="11" fillId="0" borderId="3" xfId="0" applyNumberFormat="1" applyFont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3" fontId="2" fillId="0" borderId="3" xfId="0" applyNumberFormat="1" applyFont="1" applyBorder="1" applyAlignment="1">
      <alignment vertical="center" wrapText="1"/>
    </xf>
    <xf numFmtId="3" fontId="6" fillId="0" borderId="3" xfId="0" applyNumberFormat="1" applyFont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shrinkToFit="1"/>
    </xf>
    <xf numFmtId="0" fontId="6" fillId="2" borderId="3" xfId="0" applyFont="1" applyFill="1" applyBorder="1" applyAlignment="1">
      <alignment horizontal="center" vertical="center" shrinkToFit="1"/>
    </xf>
    <xf numFmtId="2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3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166" fontId="6" fillId="2" borderId="3" xfId="0" applyNumberFormat="1" applyFont="1" applyFill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left" vertical="center" wrapText="1"/>
    </xf>
    <xf numFmtId="166" fontId="3" fillId="0" borderId="3" xfId="0" applyNumberFormat="1" applyFont="1" applyBorder="1" applyAlignment="1">
      <alignment horizontal="right" vertical="center" wrapText="1"/>
    </xf>
    <xf numFmtId="167" fontId="3" fillId="0" borderId="3" xfId="0" applyNumberFormat="1" applyFont="1" applyBorder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1" fontId="17" fillId="0" borderId="3" xfId="0" applyNumberFormat="1" applyFont="1" applyBorder="1" applyAlignment="1">
      <alignment horizontal="lef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10" fontId="17" fillId="0" borderId="3" xfId="0" applyNumberFormat="1" applyFont="1" applyBorder="1" applyAlignment="1">
      <alignment horizontal="center" vertical="center" wrapText="1"/>
    </xf>
    <xf numFmtId="10" fontId="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66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4" fillId="0" borderId="17" xfId="0" applyFont="1" applyBorder="1" applyAlignment="1">
      <alignment vertical="center" wrapText="1"/>
    </xf>
    <xf numFmtId="1" fontId="3" fillId="0" borderId="3" xfId="0" applyNumberFormat="1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166" fontId="3" fillId="0" borderId="3" xfId="0" applyNumberFormat="1" applyFont="1" applyBorder="1" applyAlignment="1">
      <alignment horizontal="center" vertical="center" wrapText="1"/>
    </xf>
    <xf numFmtId="168" fontId="3" fillId="0" borderId="3" xfId="0" applyNumberFormat="1" applyFont="1" applyBorder="1" applyAlignment="1">
      <alignment horizontal="right" vertical="center" wrapText="1"/>
    </xf>
    <xf numFmtId="1" fontId="6" fillId="0" borderId="3" xfId="0" applyNumberFormat="1" applyFont="1" applyBorder="1" applyAlignment="1">
      <alignment horizontal="lef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3" fillId="0" borderId="0" xfId="0" applyFont="1" applyAlignment="1">
      <alignment vertical="center" wrapText="1"/>
    </xf>
    <xf numFmtId="169" fontId="3" fillId="0" borderId="3" xfId="0" applyNumberFormat="1" applyFont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166" fontId="17" fillId="2" borderId="3" xfId="0" applyNumberFormat="1" applyFont="1" applyFill="1" applyBorder="1" applyAlignment="1">
      <alignment horizontal="center" vertical="center" wrapText="1"/>
    </xf>
    <xf numFmtId="3" fontId="16" fillId="0" borderId="3" xfId="0" applyNumberFormat="1" applyFont="1" applyBorder="1" applyAlignment="1">
      <alignment horizontal="center" vertical="center" wrapText="1"/>
    </xf>
    <xf numFmtId="166" fontId="16" fillId="0" borderId="3" xfId="0" applyNumberFormat="1" applyFont="1" applyBorder="1" applyAlignment="1">
      <alignment horizontal="center" vertical="center" wrapText="1"/>
    </xf>
    <xf numFmtId="1" fontId="16" fillId="0" borderId="3" xfId="0" applyNumberFormat="1" applyFont="1" applyBorder="1" applyAlignment="1">
      <alignment horizontal="center" vertical="center" wrapText="1"/>
    </xf>
    <xf numFmtId="3" fontId="17" fillId="0" borderId="3" xfId="0" applyNumberFormat="1" applyFont="1" applyBorder="1" applyAlignment="1">
      <alignment horizontal="center" vertical="center" wrapText="1"/>
    </xf>
    <xf numFmtId="170" fontId="17" fillId="0" borderId="3" xfId="0" applyNumberFormat="1" applyFont="1" applyBorder="1" applyAlignment="1">
      <alignment horizontal="center" vertical="center" wrapText="1"/>
    </xf>
    <xf numFmtId="170" fontId="16" fillId="0" borderId="3" xfId="0" applyNumberFormat="1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left" vertical="center" wrapText="1"/>
    </xf>
    <xf numFmtId="10" fontId="3" fillId="0" borderId="0" xfId="0" applyNumberFormat="1" applyFont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center" vertical="center" wrapText="1"/>
    </xf>
    <xf numFmtId="3" fontId="3" fillId="6" borderId="3" xfId="0" applyNumberFormat="1" applyFont="1" applyFill="1" applyBorder="1" applyAlignment="1">
      <alignment vertical="center" wrapText="1"/>
    </xf>
    <xf numFmtId="164" fontId="2" fillId="0" borderId="0" xfId="0" applyNumberFormat="1" applyFont="1"/>
    <xf numFmtId="9" fontId="2" fillId="0" borderId="0" xfId="0" applyNumberFormat="1" applyFont="1"/>
    <xf numFmtId="3" fontId="9" fillId="6" borderId="3" xfId="0" applyNumberFormat="1" applyFont="1" applyFill="1" applyBorder="1" applyAlignment="1">
      <alignment vertical="center" wrapText="1"/>
    </xf>
    <xf numFmtId="3" fontId="6" fillId="6" borderId="3" xfId="0" applyNumberFormat="1" applyFont="1" applyFill="1" applyBorder="1" applyAlignment="1">
      <alignment vertical="center" wrapText="1"/>
    </xf>
    <xf numFmtId="9" fontId="6" fillId="4" borderId="3" xfId="0" applyNumberFormat="1" applyFont="1" applyFill="1" applyBorder="1" applyAlignment="1">
      <alignment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4" fillId="0" borderId="9" xfId="0" applyFont="1" applyBorder="1"/>
    <xf numFmtId="0" fontId="0" fillId="0" borderId="0" xfId="0"/>
    <xf numFmtId="49" fontId="3" fillId="0" borderId="4" xfId="0" applyNumberFormat="1" applyFont="1" applyBorder="1" applyAlignment="1">
      <alignment horizontal="left" vertical="center" wrapText="1"/>
    </xf>
    <xf numFmtId="0" fontId="4" fillId="0" borderId="5" xfId="0" applyFont="1" applyBorder="1"/>
    <xf numFmtId="0" fontId="5" fillId="0" borderId="0" xfId="0" applyFont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49" fontId="6" fillId="4" borderId="4" xfId="0" applyNumberFormat="1" applyFont="1" applyFill="1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4" fillId="0" borderId="6" xfId="0" applyFont="1" applyBorder="1"/>
    <xf numFmtId="3" fontId="3" fillId="0" borderId="4" xfId="0" applyNumberFormat="1" applyFont="1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left" vertical="center" wrapText="1"/>
    </xf>
    <xf numFmtId="3" fontId="9" fillId="0" borderId="4" xfId="0" applyNumberFormat="1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3" fontId="6" fillId="0" borderId="4" xfId="0" applyNumberFormat="1" applyFont="1" applyBorder="1" applyAlignment="1">
      <alignment horizontal="left" vertical="center" wrapText="1"/>
    </xf>
    <xf numFmtId="49" fontId="6" fillId="0" borderId="4" xfId="0" applyNumberFormat="1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4" fontId="3" fillId="0" borderId="4" xfId="0" applyNumberFormat="1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4" fillId="0" borderId="16" xfId="0" applyFont="1" applyBorder="1"/>
    <xf numFmtId="0" fontId="13" fillId="0" borderId="10" xfId="0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15" fillId="0" borderId="1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3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msonline.com/Investors/Statements/Consolidated-Account-State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showGridLines="0" workbookViewId="0">
      <selection activeCell="B54" sqref="B54:F54"/>
    </sheetView>
  </sheetViews>
  <sheetFormatPr defaultColWidth="12.59765625" defaultRowHeight="15" customHeight="1" x14ac:dyDescent="0.25"/>
  <cols>
    <col min="1" max="1" width="3.19921875" customWidth="1"/>
    <col min="2" max="2" width="20.69921875" customWidth="1"/>
    <col min="3" max="3" width="16.8984375" customWidth="1"/>
    <col min="4" max="5" width="15.69921875" customWidth="1"/>
    <col min="6" max="6" width="16" customWidth="1"/>
    <col min="7" max="8" width="15.69921875" customWidth="1"/>
    <col min="9" max="18" width="8.8984375" customWidth="1"/>
    <col min="19" max="26" width="14.3984375" customWidth="1"/>
  </cols>
  <sheetData>
    <row r="1" spans="1:18" ht="3.75" customHeight="1" x14ac:dyDescent="0.3">
      <c r="A1" s="1" t="s">
        <v>0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4.5" customHeight="1" x14ac:dyDescent="0.25">
      <c r="A2" s="3"/>
      <c r="B2" s="3"/>
      <c r="C2" s="3"/>
      <c r="D2" s="3"/>
      <c r="E2" s="3"/>
      <c r="F2" s="4"/>
    </row>
    <row r="3" spans="1:18" ht="20.25" customHeight="1" x14ac:dyDescent="0.25">
      <c r="A3" s="1"/>
      <c r="B3" s="107" t="s">
        <v>1</v>
      </c>
      <c r="C3" s="108"/>
      <c r="D3" s="108"/>
      <c r="E3" s="108"/>
      <c r="F3" s="108"/>
    </row>
    <row r="4" spans="1:18" ht="20.25" customHeight="1" x14ac:dyDescent="0.25">
      <c r="B4" s="89" t="s">
        <v>2</v>
      </c>
      <c r="C4" s="86"/>
      <c r="D4" s="86"/>
      <c r="E4" s="86"/>
      <c r="F4" s="86"/>
    </row>
    <row r="5" spans="1:18" ht="20.25" customHeight="1" x14ac:dyDescent="0.25">
      <c r="B5" s="6" t="s">
        <v>3</v>
      </c>
      <c r="C5" s="90" t="s">
        <v>4</v>
      </c>
      <c r="D5" s="88"/>
      <c r="E5" s="90" t="s">
        <v>5</v>
      </c>
      <c r="F5" s="88"/>
    </row>
    <row r="6" spans="1:18" ht="20.25" customHeight="1" x14ac:dyDescent="0.25">
      <c r="B6" s="7" t="s">
        <v>6</v>
      </c>
      <c r="C6" s="102" t="s">
        <v>7</v>
      </c>
      <c r="D6" s="88"/>
      <c r="E6" s="102" t="s">
        <v>8</v>
      </c>
      <c r="F6" s="88"/>
    </row>
    <row r="7" spans="1:18" ht="20.25" customHeight="1" x14ac:dyDescent="0.25">
      <c r="B7" s="7" t="s">
        <v>9</v>
      </c>
      <c r="C7" s="102" t="s">
        <v>10</v>
      </c>
      <c r="D7" s="88"/>
      <c r="E7" s="102"/>
      <c r="F7" s="88"/>
    </row>
    <row r="8" spans="1:18" ht="20.25" customHeight="1" x14ac:dyDescent="0.25">
      <c r="B8" s="7" t="s">
        <v>11</v>
      </c>
      <c r="C8" s="102" t="s">
        <v>12</v>
      </c>
      <c r="D8" s="88"/>
      <c r="E8" s="102"/>
      <c r="F8" s="88"/>
    </row>
    <row r="9" spans="1:18" ht="20.25" customHeight="1" x14ac:dyDescent="0.25">
      <c r="B9" s="7" t="s">
        <v>13</v>
      </c>
      <c r="C9" s="102" t="s">
        <v>14</v>
      </c>
      <c r="D9" s="88"/>
      <c r="E9" s="102"/>
      <c r="F9" s="88"/>
    </row>
    <row r="10" spans="1:18" ht="20.25" customHeight="1" x14ac:dyDescent="0.25">
      <c r="B10" s="7" t="s">
        <v>15</v>
      </c>
      <c r="C10" s="102">
        <v>1.3</v>
      </c>
      <c r="D10" s="88"/>
      <c r="E10" s="102"/>
      <c r="F10" s="88"/>
    </row>
    <row r="11" spans="1:18" ht="20.25" customHeight="1" x14ac:dyDescent="0.25">
      <c r="B11" s="7" t="s">
        <v>16</v>
      </c>
      <c r="C11" s="102" t="s">
        <v>17</v>
      </c>
      <c r="D11" s="88"/>
      <c r="E11" s="102"/>
      <c r="F11" s="88"/>
    </row>
    <row r="12" spans="1:18" ht="20.25" customHeight="1" x14ac:dyDescent="0.25">
      <c r="B12" s="7" t="s">
        <v>18</v>
      </c>
      <c r="C12" s="105">
        <v>37599</v>
      </c>
      <c r="D12" s="88"/>
      <c r="E12" s="105"/>
      <c r="F12" s="88"/>
    </row>
    <row r="13" spans="1:18" ht="20.25" customHeight="1" x14ac:dyDescent="0.25">
      <c r="B13" s="8" t="s">
        <v>19</v>
      </c>
      <c r="C13" s="106">
        <f ca="1">TRUNC(YEARFRAC(C12,TODAY()))</f>
        <v>23</v>
      </c>
      <c r="D13" s="88"/>
      <c r="E13" s="106"/>
      <c r="F13" s="88"/>
    </row>
    <row r="14" spans="1:18" ht="20.25" customHeight="1" x14ac:dyDescent="0.25">
      <c r="B14" s="7" t="s">
        <v>20</v>
      </c>
      <c r="C14" s="103">
        <v>7058132853</v>
      </c>
      <c r="D14" s="88"/>
      <c r="E14" s="103"/>
      <c r="F14" s="88"/>
    </row>
    <row r="15" spans="1:18" ht="20.25" customHeight="1" x14ac:dyDescent="0.25">
      <c r="B15" s="7" t="s">
        <v>21</v>
      </c>
      <c r="C15" s="104" t="s">
        <v>22</v>
      </c>
      <c r="D15" s="88"/>
      <c r="E15" s="104"/>
      <c r="F15" s="88"/>
    </row>
    <row r="16" spans="1:18" ht="54.75" customHeight="1" x14ac:dyDescent="0.25">
      <c r="B16" s="7" t="s">
        <v>23</v>
      </c>
      <c r="C16" s="104" t="s">
        <v>24</v>
      </c>
      <c r="D16" s="88"/>
      <c r="E16" s="104"/>
      <c r="F16" s="88"/>
    </row>
    <row r="17" spans="2:8" ht="40.5" customHeight="1" x14ac:dyDescent="0.25">
      <c r="B17" s="7" t="s">
        <v>25</v>
      </c>
      <c r="C17" s="103">
        <v>50</v>
      </c>
      <c r="D17" s="88"/>
      <c r="E17" s="102"/>
      <c r="F17" s="88"/>
    </row>
    <row r="18" spans="2:8" ht="20.25" customHeight="1" x14ac:dyDescent="0.25">
      <c r="B18" s="4"/>
      <c r="C18" s="4"/>
      <c r="D18" s="4"/>
      <c r="E18" s="4"/>
      <c r="F18" s="4"/>
    </row>
    <row r="19" spans="2:8" ht="20.25" customHeight="1" x14ac:dyDescent="0.25">
      <c r="B19" s="89" t="s">
        <v>26</v>
      </c>
      <c r="C19" s="86"/>
      <c r="D19" s="86"/>
      <c r="E19" s="86"/>
      <c r="F19" s="86"/>
    </row>
    <row r="20" spans="2:8" ht="20.25" customHeight="1" x14ac:dyDescent="0.25">
      <c r="B20" s="6" t="s">
        <v>3</v>
      </c>
      <c r="C20" s="6" t="s">
        <v>27</v>
      </c>
      <c r="D20" s="6" t="s">
        <v>28</v>
      </c>
      <c r="E20" s="6" t="s">
        <v>29</v>
      </c>
      <c r="F20" s="9" t="s">
        <v>30</v>
      </c>
      <c r="G20" s="6" t="s">
        <v>31</v>
      </c>
      <c r="H20" s="9" t="s">
        <v>32</v>
      </c>
    </row>
    <row r="21" spans="2:8" ht="20.25" customHeight="1" x14ac:dyDescent="0.25">
      <c r="B21" s="7" t="s">
        <v>6</v>
      </c>
      <c r="C21" s="10"/>
      <c r="D21" s="10"/>
      <c r="E21" s="10"/>
      <c r="F21" s="10" t="s">
        <v>33</v>
      </c>
      <c r="G21" s="10"/>
      <c r="H21" s="10"/>
    </row>
    <row r="22" spans="2:8" ht="20.25" customHeight="1" x14ac:dyDescent="0.25">
      <c r="B22" s="7" t="s">
        <v>34</v>
      </c>
      <c r="C22" s="11"/>
      <c r="D22" s="11"/>
      <c r="E22" s="11"/>
      <c r="F22" s="11" t="s">
        <v>35</v>
      </c>
      <c r="G22" s="11"/>
      <c r="H22" s="11"/>
    </row>
    <row r="23" spans="2:8" ht="20.25" customHeight="1" x14ac:dyDescent="0.25">
      <c r="B23" s="7" t="s">
        <v>16</v>
      </c>
      <c r="C23" s="11"/>
      <c r="D23" s="11"/>
      <c r="E23" s="11"/>
      <c r="F23" s="11" t="s">
        <v>17</v>
      </c>
      <c r="G23" s="11"/>
      <c r="H23" s="11"/>
    </row>
    <row r="24" spans="2:8" ht="20.25" customHeight="1" x14ac:dyDescent="0.25">
      <c r="B24" s="7" t="s">
        <v>36</v>
      </c>
      <c r="C24" s="12"/>
      <c r="D24" s="12"/>
      <c r="E24" s="12"/>
      <c r="F24" s="12">
        <v>23597</v>
      </c>
      <c r="G24" s="12"/>
      <c r="H24" s="12"/>
    </row>
    <row r="25" spans="2:8" ht="20.25" customHeight="1" x14ac:dyDescent="0.25">
      <c r="B25" s="8" t="s">
        <v>19</v>
      </c>
      <c r="C25" s="13">
        <f t="shared" ref="C25:H25" ca="1" si="0">TRUNC(YEARFRAC(C24,TODAY()))</f>
        <v>126</v>
      </c>
      <c r="D25" s="13">
        <f t="shared" ca="1" si="0"/>
        <v>126</v>
      </c>
      <c r="E25" s="13"/>
      <c r="F25" s="13">
        <f t="shared" ca="1" si="0"/>
        <v>61</v>
      </c>
      <c r="G25" s="13">
        <f t="shared" ca="1" si="0"/>
        <v>126</v>
      </c>
      <c r="H25" s="13">
        <f t="shared" ca="1" si="0"/>
        <v>126</v>
      </c>
    </row>
    <row r="26" spans="2:8" ht="20.25" customHeight="1" x14ac:dyDescent="0.25">
      <c r="B26" s="4"/>
      <c r="C26" s="4"/>
      <c r="D26" s="4"/>
      <c r="E26" s="4"/>
      <c r="F26" s="4"/>
    </row>
    <row r="27" spans="2:8" ht="20.25" customHeight="1" x14ac:dyDescent="0.25">
      <c r="B27" s="89" t="s">
        <v>37</v>
      </c>
      <c r="C27" s="86"/>
      <c r="D27" s="86"/>
      <c r="E27" s="86"/>
      <c r="F27" s="86"/>
    </row>
    <row r="28" spans="2:8" ht="20.25" customHeight="1" x14ac:dyDescent="0.25">
      <c r="B28" s="90" t="s">
        <v>38</v>
      </c>
      <c r="C28" s="94"/>
      <c r="D28" s="94"/>
      <c r="E28" s="94"/>
      <c r="F28" s="88"/>
    </row>
    <row r="29" spans="2:8" ht="20.25" customHeight="1" x14ac:dyDescent="0.25">
      <c r="B29" s="14" t="s">
        <v>39</v>
      </c>
      <c r="C29" s="101">
        <f>C21</f>
        <v>0</v>
      </c>
      <c r="D29" s="94"/>
      <c r="E29" s="94"/>
      <c r="F29" s="88"/>
    </row>
    <row r="30" spans="2:8" ht="20.25" customHeight="1" x14ac:dyDescent="0.25">
      <c r="B30" s="7" t="s">
        <v>40</v>
      </c>
      <c r="C30" s="15" t="s">
        <v>41</v>
      </c>
      <c r="D30" s="15" t="s">
        <v>42</v>
      </c>
      <c r="E30" s="15" t="s">
        <v>43</v>
      </c>
      <c r="F30" s="15" t="s">
        <v>44</v>
      </c>
    </row>
    <row r="31" spans="2:8" ht="20.25" customHeight="1" x14ac:dyDescent="0.25">
      <c r="B31" s="7" t="s">
        <v>45</v>
      </c>
      <c r="C31" s="16"/>
      <c r="D31" s="16"/>
      <c r="E31" s="16"/>
      <c r="F31" s="16"/>
    </row>
    <row r="32" spans="2:8" ht="20.25" customHeight="1" x14ac:dyDescent="0.25">
      <c r="B32" s="7" t="s">
        <v>46</v>
      </c>
      <c r="C32" s="17"/>
      <c r="D32" s="17"/>
      <c r="E32" s="17"/>
      <c r="F32" s="17"/>
    </row>
    <row r="33" spans="2:7" ht="20.25" customHeight="1" x14ac:dyDescent="0.25">
      <c r="B33" s="7" t="s">
        <v>47</v>
      </c>
      <c r="C33" s="18"/>
      <c r="D33" s="18"/>
      <c r="E33" s="18"/>
      <c r="F33" s="18"/>
    </row>
    <row r="34" spans="2:7" ht="20.25" customHeight="1" x14ac:dyDescent="0.25">
      <c r="B34" s="4"/>
      <c r="C34" s="4"/>
      <c r="D34" s="4"/>
      <c r="E34" s="4"/>
      <c r="F34" s="4"/>
    </row>
    <row r="35" spans="2:7" ht="20.25" customHeight="1" x14ac:dyDescent="0.25">
      <c r="B35" s="90" t="s">
        <v>38</v>
      </c>
      <c r="C35" s="94"/>
      <c r="D35" s="94"/>
      <c r="E35" s="94"/>
      <c r="F35" s="88"/>
    </row>
    <row r="36" spans="2:7" ht="20.25" customHeight="1" x14ac:dyDescent="0.25">
      <c r="B36" s="14" t="s">
        <v>48</v>
      </c>
      <c r="C36" s="101">
        <f>D21</f>
        <v>0</v>
      </c>
      <c r="D36" s="94"/>
      <c r="E36" s="94"/>
      <c r="F36" s="88"/>
    </row>
    <row r="37" spans="2:7" ht="20.25" customHeight="1" x14ac:dyDescent="0.25">
      <c r="B37" s="7" t="s">
        <v>40</v>
      </c>
      <c r="C37" s="15" t="s">
        <v>41</v>
      </c>
      <c r="D37" s="15" t="s">
        <v>42</v>
      </c>
      <c r="E37" s="15" t="s">
        <v>43</v>
      </c>
      <c r="F37" s="15" t="s">
        <v>44</v>
      </c>
    </row>
    <row r="38" spans="2:7" ht="20.25" customHeight="1" x14ac:dyDescent="0.25">
      <c r="B38" s="7" t="s">
        <v>45</v>
      </c>
      <c r="C38" s="16"/>
      <c r="D38" s="16"/>
      <c r="E38" s="16"/>
      <c r="F38" s="16"/>
    </row>
    <row r="39" spans="2:7" ht="20.25" customHeight="1" x14ac:dyDescent="0.25">
      <c r="B39" s="7" t="s">
        <v>46</v>
      </c>
      <c r="C39" s="17"/>
      <c r="D39" s="17"/>
      <c r="E39" s="17"/>
      <c r="F39" s="17"/>
      <c r="G39" s="19"/>
    </row>
    <row r="40" spans="2:7" ht="20.25" customHeight="1" x14ac:dyDescent="0.25">
      <c r="B40" s="7" t="s">
        <v>47</v>
      </c>
      <c r="C40" s="18"/>
      <c r="D40" s="18"/>
      <c r="E40" s="18"/>
      <c r="F40" s="18"/>
    </row>
    <row r="41" spans="2:7" ht="20.25" customHeight="1" x14ac:dyDescent="0.25">
      <c r="B41" s="4"/>
      <c r="C41" s="4"/>
      <c r="D41" s="4"/>
      <c r="E41" s="4"/>
      <c r="F41" s="4"/>
    </row>
    <row r="42" spans="2:7" ht="20.25" customHeight="1" x14ac:dyDescent="0.25">
      <c r="B42" s="89" t="s">
        <v>49</v>
      </c>
      <c r="C42" s="86"/>
      <c r="D42" s="86"/>
      <c r="E42" s="86"/>
      <c r="F42" s="86"/>
    </row>
    <row r="43" spans="2:7" ht="20.25" customHeight="1" x14ac:dyDescent="0.25">
      <c r="B43" s="6" t="s">
        <v>40</v>
      </c>
      <c r="C43" s="6" t="s">
        <v>50</v>
      </c>
      <c r="D43" s="6" t="s">
        <v>51</v>
      </c>
      <c r="E43" s="6" t="s">
        <v>52</v>
      </c>
      <c r="F43" s="6" t="s">
        <v>47</v>
      </c>
    </row>
    <row r="44" spans="2:7" ht="20.25" customHeight="1" x14ac:dyDescent="0.25">
      <c r="B44" s="7" t="s">
        <v>53</v>
      </c>
      <c r="C44" s="11"/>
      <c r="D44" s="11"/>
      <c r="E44" s="18"/>
      <c r="F44" s="18"/>
    </row>
    <row r="45" spans="2:7" ht="20.25" customHeight="1" x14ac:dyDescent="0.25">
      <c r="B45" s="7" t="s">
        <v>54</v>
      </c>
      <c r="C45" s="11"/>
      <c r="D45" s="11"/>
      <c r="E45" s="18"/>
      <c r="F45" s="18"/>
    </row>
    <row r="46" spans="2:7" ht="20.25" customHeight="1" x14ac:dyDescent="0.25">
      <c r="B46" s="7" t="s">
        <v>55</v>
      </c>
      <c r="C46" s="11"/>
      <c r="D46" s="11"/>
      <c r="E46" s="18"/>
      <c r="F46" s="18"/>
    </row>
    <row r="47" spans="2:7" ht="20.25" customHeight="1" x14ac:dyDescent="0.25">
      <c r="B47" s="7" t="s">
        <v>56</v>
      </c>
      <c r="C47" s="11"/>
      <c r="D47" s="11"/>
      <c r="E47" s="18"/>
      <c r="F47" s="11"/>
    </row>
    <row r="48" spans="2:7" ht="20.25" customHeight="1" x14ac:dyDescent="0.25">
      <c r="B48" s="7" t="s">
        <v>57</v>
      </c>
      <c r="C48" s="11"/>
      <c r="D48" s="11"/>
      <c r="E48" s="18"/>
      <c r="F48" s="11"/>
    </row>
    <row r="49" spans="2:6" ht="20.25" customHeight="1" x14ac:dyDescent="0.25">
      <c r="B49" s="7" t="s">
        <v>58</v>
      </c>
      <c r="C49" s="11"/>
      <c r="D49" s="11"/>
      <c r="E49" s="18"/>
      <c r="F49" s="11"/>
    </row>
    <row r="50" spans="2:6" ht="20.25" customHeight="1" x14ac:dyDescent="0.25">
      <c r="B50" s="7" t="s">
        <v>59</v>
      </c>
      <c r="C50" s="11"/>
      <c r="D50" s="11"/>
      <c r="E50" s="18"/>
      <c r="F50" s="11"/>
    </row>
    <row r="51" spans="2:6" ht="20.25" customHeight="1" x14ac:dyDescent="0.25">
      <c r="B51" s="7" t="s">
        <v>60</v>
      </c>
      <c r="C51" s="11"/>
      <c r="D51" s="11"/>
      <c r="E51" s="18"/>
      <c r="F51" s="11"/>
    </row>
    <row r="52" spans="2:6" ht="20.25" customHeight="1" x14ac:dyDescent="0.25">
      <c r="B52" s="7" t="s">
        <v>44</v>
      </c>
      <c r="C52" s="11"/>
      <c r="D52" s="11"/>
      <c r="E52" s="18"/>
      <c r="F52" s="11"/>
    </row>
    <row r="53" spans="2:6" ht="20.25" customHeight="1" x14ac:dyDescent="0.25">
      <c r="B53" s="4"/>
      <c r="C53" s="4"/>
      <c r="D53" s="4"/>
      <c r="E53" s="4"/>
      <c r="F53" s="4"/>
    </row>
    <row r="54" spans="2:6" ht="20.25" customHeight="1" x14ac:dyDescent="0.25">
      <c r="B54" s="89" t="s">
        <v>61</v>
      </c>
      <c r="C54" s="86"/>
      <c r="D54" s="86"/>
      <c r="E54" s="86"/>
      <c r="F54" s="86"/>
    </row>
    <row r="55" spans="2:6" ht="20.25" customHeight="1" x14ac:dyDescent="0.25">
      <c r="B55" s="90" t="s">
        <v>62</v>
      </c>
      <c r="C55" s="88"/>
      <c r="D55" s="6" t="str">
        <f>C6</f>
        <v xml:space="preserve">Partha Lalit </v>
      </c>
      <c r="E55" s="6" t="str">
        <f>E6</f>
        <v>NA</v>
      </c>
      <c r="F55" s="6" t="s">
        <v>63</v>
      </c>
    </row>
    <row r="56" spans="2:6" ht="20.25" customHeight="1" x14ac:dyDescent="0.25">
      <c r="B56" s="99" t="s">
        <v>64</v>
      </c>
      <c r="C56" s="88"/>
      <c r="D56" s="18">
        <v>840000</v>
      </c>
      <c r="E56" s="18"/>
      <c r="F56" s="20">
        <f t="shared" ref="F56:F62" si="1">SUM(D56:E56)</f>
        <v>840000</v>
      </c>
    </row>
    <row r="57" spans="2:6" ht="20.25" customHeight="1" x14ac:dyDescent="0.25">
      <c r="B57" s="99" t="s">
        <v>65</v>
      </c>
      <c r="C57" s="88"/>
      <c r="D57" s="18">
        <v>0</v>
      </c>
      <c r="E57" s="18"/>
      <c r="F57" s="20">
        <f t="shared" si="1"/>
        <v>0</v>
      </c>
    </row>
    <row r="58" spans="2:6" ht="20.25" customHeight="1" x14ac:dyDescent="0.25">
      <c r="B58" s="100" t="s">
        <v>66</v>
      </c>
      <c r="C58" s="88"/>
      <c r="D58" s="18">
        <v>160000</v>
      </c>
      <c r="E58" s="18"/>
      <c r="F58" s="20">
        <f t="shared" si="1"/>
        <v>160000</v>
      </c>
    </row>
    <row r="59" spans="2:6" ht="20.25" customHeight="1" x14ac:dyDescent="0.25">
      <c r="B59" s="99" t="s">
        <v>67</v>
      </c>
      <c r="C59" s="88"/>
      <c r="D59" s="18">
        <v>0</v>
      </c>
      <c r="E59" s="18"/>
      <c r="F59" s="20">
        <f t="shared" si="1"/>
        <v>0</v>
      </c>
    </row>
    <row r="60" spans="2:6" ht="20.25" customHeight="1" x14ac:dyDescent="0.25">
      <c r="B60" s="99" t="s">
        <v>68</v>
      </c>
      <c r="C60" s="88"/>
      <c r="D60" s="18">
        <v>0</v>
      </c>
      <c r="E60" s="18"/>
      <c r="F60" s="20">
        <f t="shared" si="1"/>
        <v>0</v>
      </c>
    </row>
    <row r="61" spans="2:6" ht="20.25" customHeight="1" x14ac:dyDescent="0.25">
      <c r="B61" s="99" t="s">
        <v>69</v>
      </c>
      <c r="C61" s="88"/>
      <c r="D61" s="18"/>
      <c r="E61" s="18"/>
      <c r="F61" s="20">
        <f t="shared" si="1"/>
        <v>0</v>
      </c>
    </row>
    <row r="62" spans="2:6" ht="20.25" customHeight="1" x14ac:dyDescent="0.25">
      <c r="B62" s="99" t="s">
        <v>70</v>
      </c>
      <c r="C62" s="88"/>
      <c r="D62" s="20">
        <f t="shared" ref="D62:E62" si="2">SUM(D56:D61)</f>
        <v>1000000</v>
      </c>
      <c r="E62" s="20">
        <f t="shared" si="2"/>
        <v>0</v>
      </c>
      <c r="F62" s="20">
        <f t="shared" si="1"/>
        <v>1000000</v>
      </c>
    </row>
    <row r="63" spans="2:6" ht="20.25" customHeight="1" x14ac:dyDescent="0.25">
      <c r="B63" s="100" t="s">
        <v>71</v>
      </c>
      <c r="C63" s="88"/>
      <c r="D63" s="21"/>
      <c r="E63" s="21"/>
      <c r="F63" s="22" t="s">
        <v>8</v>
      </c>
    </row>
    <row r="64" spans="2:6" ht="20.25" customHeight="1" x14ac:dyDescent="0.25"/>
    <row r="65" spans="2:6" ht="20.25" customHeight="1" x14ac:dyDescent="0.25">
      <c r="B65" s="89" t="s">
        <v>72</v>
      </c>
      <c r="C65" s="86"/>
      <c r="D65" s="86"/>
      <c r="E65" s="86"/>
      <c r="F65" s="86"/>
    </row>
    <row r="66" spans="2:6" ht="20.25" customHeight="1" x14ac:dyDescent="0.25">
      <c r="B66" s="90" t="s">
        <v>3</v>
      </c>
      <c r="C66" s="88"/>
      <c r="D66" s="6" t="s">
        <v>73</v>
      </c>
      <c r="E66" s="6" t="s">
        <v>74</v>
      </c>
      <c r="F66" s="6" t="s">
        <v>75</v>
      </c>
    </row>
    <row r="67" spans="2:6" ht="20.25" customHeight="1" x14ac:dyDescent="0.25">
      <c r="B67" s="95" t="s">
        <v>76</v>
      </c>
      <c r="C67" s="88"/>
      <c r="D67" s="23">
        <v>8000</v>
      </c>
      <c r="E67" s="23">
        <f t="shared" ref="E67:E72" si="3">D67*12</f>
        <v>96000</v>
      </c>
      <c r="F67" s="22">
        <f t="shared" ref="F67:F100" si="4">E67/$F$62</f>
        <v>9.6000000000000002E-2</v>
      </c>
    </row>
    <row r="68" spans="2:6" ht="20.25" customHeight="1" x14ac:dyDescent="0.25">
      <c r="B68" s="95" t="s">
        <v>77</v>
      </c>
      <c r="C68" s="88"/>
      <c r="D68" s="23">
        <v>1200</v>
      </c>
      <c r="E68" s="23">
        <f t="shared" si="3"/>
        <v>14400</v>
      </c>
      <c r="F68" s="22">
        <f t="shared" si="4"/>
        <v>1.44E-2</v>
      </c>
    </row>
    <row r="69" spans="2:6" ht="20.25" customHeight="1" x14ac:dyDescent="0.25">
      <c r="B69" s="95" t="s">
        <v>78</v>
      </c>
      <c r="C69" s="88"/>
      <c r="D69" s="23">
        <v>4000</v>
      </c>
      <c r="E69" s="23">
        <f t="shared" si="3"/>
        <v>48000</v>
      </c>
      <c r="F69" s="22">
        <f t="shared" si="4"/>
        <v>4.8000000000000001E-2</v>
      </c>
    </row>
    <row r="70" spans="2:6" ht="20.25" customHeight="1" x14ac:dyDescent="0.25">
      <c r="B70" s="95" t="s">
        <v>79</v>
      </c>
      <c r="C70" s="88"/>
      <c r="D70" s="23">
        <v>0</v>
      </c>
      <c r="E70" s="23">
        <f t="shared" si="3"/>
        <v>0</v>
      </c>
      <c r="F70" s="22">
        <f t="shared" si="4"/>
        <v>0</v>
      </c>
    </row>
    <row r="71" spans="2:6" ht="20.25" customHeight="1" x14ac:dyDescent="0.25">
      <c r="B71" s="95" t="s">
        <v>80</v>
      </c>
      <c r="C71" s="88"/>
      <c r="D71" s="23">
        <v>2500</v>
      </c>
      <c r="E71" s="23">
        <f t="shared" si="3"/>
        <v>30000</v>
      </c>
      <c r="F71" s="22">
        <f t="shared" si="4"/>
        <v>0.03</v>
      </c>
    </row>
    <row r="72" spans="2:6" ht="20.25" customHeight="1" x14ac:dyDescent="0.25">
      <c r="B72" s="95" t="s">
        <v>81</v>
      </c>
      <c r="C72" s="88"/>
      <c r="D72" s="23">
        <v>1300</v>
      </c>
      <c r="E72" s="23">
        <f t="shared" si="3"/>
        <v>15600</v>
      </c>
      <c r="F72" s="22">
        <f t="shared" si="4"/>
        <v>1.5599999999999999E-2</v>
      </c>
    </row>
    <row r="73" spans="2:6" ht="20.25" customHeight="1" x14ac:dyDescent="0.25">
      <c r="B73" s="96" t="s">
        <v>82</v>
      </c>
      <c r="C73" s="88"/>
      <c r="D73" s="24">
        <f t="shared" ref="D73:E73" si="5">SUM(D67:D72)</f>
        <v>17000</v>
      </c>
      <c r="E73" s="24">
        <f t="shared" si="5"/>
        <v>204000</v>
      </c>
      <c r="F73" s="25">
        <f t="shared" si="4"/>
        <v>0.20399999999999999</v>
      </c>
    </row>
    <row r="74" spans="2:6" ht="20.25" customHeight="1" x14ac:dyDescent="0.25">
      <c r="B74" s="95" t="s">
        <v>83</v>
      </c>
      <c r="C74" s="88"/>
      <c r="D74" s="23">
        <v>4000</v>
      </c>
      <c r="E74" s="23">
        <f t="shared" ref="E74:E78" si="6">D74*12</f>
        <v>48000</v>
      </c>
      <c r="F74" s="22">
        <f t="shared" si="4"/>
        <v>4.8000000000000001E-2</v>
      </c>
    </row>
    <row r="75" spans="2:6" ht="20.25" customHeight="1" x14ac:dyDescent="0.25">
      <c r="B75" s="95" t="s">
        <v>84</v>
      </c>
      <c r="C75" s="88"/>
      <c r="D75" s="23">
        <v>2000</v>
      </c>
      <c r="E75" s="23">
        <f t="shared" si="6"/>
        <v>24000</v>
      </c>
      <c r="F75" s="22">
        <f t="shared" si="4"/>
        <v>2.4E-2</v>
      </c>
    </row>
    <row r="76" spans="2:6" ht="20.25" customHeight="1" x14ac:dyDescent="0.25">
      <c r="B76" s="95" t="s">
        <v>85</v>
      </c>
      <c r="C76" s="88"/>
      <c r="D76" s="23">
        <v>2000</v>
      </c>
      <c r="E76" s="23">
        <f t="shared" si="6"/>
        <v>24000</v>
      </c>
      <c r="F76" s="22">
        <f t="shared" si="4"/>
        <v>2.4E-2</v>
      </c>
    </row>
    <row r="77" spans="2:6" ht="20.25" customHeight="1" x14ac:dyDescent="0.25">
      <c r="B77" s="95" t="s">
        <v>86</v>
      </c>
      <c r="C77" s="88"/>
      <c r="D77" s="23">
        <v>2000</v>
      </c>
      <c r="E77" s="23">
        <f t="shared" si="6"/>
        <v>24000</v>
      </c>
      <c r="F77" s="22">
        <f t="shared" si="4"/>
        <v>2.4E-2</v>
      </c>
    </row>
    <row r="78" spans="2:6" ht="20.25" customHeight="1" x14ac:dyDescent="0.25">
      <c r="B78" s="95" t="s">
        <v>87</v>
      </c>
      <c r="C78" s="88"/>
      <c r="D78" s="23">
        <v>10000</v>
      </c>
      <c r="E78" s="23">
        <f t="shared" si="6"/>
        <v>120000</v>
      </c>
      <c r="F78" s="22">
        <f t="shared" si="4"/>
        <v>0.12</v>
      </c>
    </row>
    <row r="79" spans="2:6" ht="20.25" customHeight="1" x14ac:dyDescent="0.25">
      <c r="B79" s="97" t="s">
        <v>88</v>
      </c>
      <c r="C79" s="88"/>
      <c r="D79" s="24">
        <f t="shared" ref="D79:E79" si="7">SUM(D74:D78)</f>
        <v>20000</v>
      </c>
      <c r="E79" s="24">
        <f t="shared" si="7"/>
        <v>240000</v>
      </c>
      <c r="F79" s="25">
        <f t="shared" si="4"/>
        <v>0.24</v>
      </c>
    </row>
    <row r="80" spans="2:6" ht="20.25" customHeight="1" x14ac:dyDescent="0.25">
      <c r="B80" s="95" t="s">
        <v>89</v>
      </c>
      <c r="C80" s="88"/>
      <c r="D80" s="23">
        <v>0</v>
      </c>
      <c r="E80" s="23">
        <f t="shared" ref="E80:E81" si="8">D80*12</f>
        <v>0</v>
      </c>
      <c r="F80" s="22">
        <f t="shared" si="4"/>
        <v>0</v>
      </c>
    </row>
    <row r="81" spans="2:6" ht="20.25" customHeight="1" x14ac:dyDescent="0.25">
      <c r="B81" s="95" t="s">
        <v>90</v>
      </c>
      <c r="C81" s="88"/>
      <c r="D81" s="23">
        <v>0</v>
      </c>
      <c r="E81" s="23">
        <f t="shared" si="8"/>
        <v>0</v>
      </c>
      <c r="F81" s="22">
        <f t="shared" si="4"/>
        <v>0</v>
      </c>
    </row>
    <row r="82" spans="2:6" ht="20.25" customHeight="1" x14ac:dyDescent="0.25">
      <c r="B82" s="96" t="s">
        <v>91</v>
      </c>
      <c r="C82" s="88"/>
      <c r="D82" s="24">
        <f t="shared" ref="D82:E82" si="9">SUM(D80:D81)</f>
        <v>0</v>
      </c>
      <c r="E82" s="24">
        <f t="shared" si="9"/>
        <v>0</v>
      </c>
      <c r="F82" s="25">
        <f t="shared" si="4"/>
        <v>0</v>
      </c>
    </row>
    <row r="83" spans="2:6" ht="20.25" customHeight="1" x14ac:dyDescent="0.25">
      <c r="B83" s="95" t="s">
        <v>92</v>
      </c>
      <c r="C83" s="88"/>
      <c r="D83" s="23">
        <v>0</v>
      </c>
      <c r="E83" s="23">
        <f t="shared" ref="E83:E85" si="10">D83*12</f>
        <v>0</v>
      </c>
      <c r="F83" s="22">
        <f t="shared" si="4"/>
        <v>0</v>
      </c>
    </row>
    <row r="84" spans="2:6" ht="20.25" customHeight="1" x14ac:dyDescent="0.25">
      <c r="B84" s="95" t="s">
        <v>93</v>
      </c>
      <c r="C84" s="88"/>
      <c r="D84" s="23">
        <v>0</v>
      </c>
      <c r="E84" s="23">
        <f t="shared" si="10"/>
        <v>0</v>
      </c>
      <c r="F84" s="22">
        <f t="shared" si="4"/>
        <v>0</v>
      </c>
    </row>
    <row r="85" spans="2:6" ht="20.25" customHeight="1" x14ac:dyDescent="0.25">
      <c r="B85" s="95" t="s">
        <v>94</v>
      </c>
      <c r="C85" s="88"/>
      <c r="D85" s="23">
        <v>0</v>
      </c>
      <c r="E85" s="23">
        <f t="shared" si="10"/>
        <v>0</v>
      </c>
      <c r="F85" s="22">
        <f t="shared" si="4"/>
        <v>0</v>
      </c>
    </row>
    <row r="86" spans="2:6" ht="20.25" customHeight="1" x14ac:dyDescent="0.25">
      <c r="B86" s="96" t="s">
        <v>95</v>
      </c>
      <c r="C86" s="88"/>
      <c r="D86" s="24">
        <f t="shared" ref="D86:E86" si="11">SUM(D83:D85)</f>
        <v>0</v>
      </c>
      <c r="E86" s="24">
        <f t="shared" si="11"/>
        <v>0</v>
      </c>
      <c r="F86" s="25">
        <f t="shared" si="4"/>
        <v>0</v>
      </c>
    </row>
    <row r="87" spans="2:6" ht="20.25" customHeight="1" x14ac:dyDescent="0.25">
      <c r="B87" s="95" t="s">
        <v>96</v>
      </c>
      <c r="C87" s="88"/>
      <c r="D87" s="23">
        <v>0</v>
      </c>
      <c r="E87" s="23">
        <f t="shared" ref="E87:E89" si="12">D87*12</f>
        <v>0</v>
      </c>
      <c r="F87" s="22">
        <f t="shared" si="4"/>
        <v>0</v>
      </c>
    </row>
    <row r="88" spans="2:6" ht="20.25" customHeight="1" x14ac:dyDescent="0.25">
      <c r="B88" s="87" t="s">
        <v>97</v>
      </c>
      <c r="C88" s="88"/>
      <c r="D88" s="23">
        <v>0</v>
      </c>
      <c r="E88" s="23">
        <f t="shared" si="12"/>
        <v>0</v>
      </c>
      <c r="F88" s="22">
        <f t="shared" si="4"/>
        <v>0</v>
      </c>
    </row>
    <row r="89" spans="2:6" ht="20.25" customHeight="1" x14ac:dyDescent="0.25">
      <c r="B89" s="87" t="s">
        <v>98</v>
      </c>
      <c r="C89" s="88"/>
      <c r="D89" s="23">
        <v>0</v>
      </c>
      <c r="E89" s="23">
        <f t="shared" si="12"/>
        <v>0</v>
      </c>
      <c r="F89" s="22">
        <f t="shared" si="4"/>
        <v>0</v>
      </c>
    </row>
    <row r="90" spans="2:6" ht="20.25" customHeight="1" x14ac:dyDescent="0.25">
      <c r="B90" s="96" t="s">
        <v>99</v>
      </c>
      <c r="C90" s="88"/>
      <c r="D90" s="24">
        <f t="shared" ref="D90:E90" si="13">SUM(D87:D89)</f>
        <v>0</v>
      </c>
      <c r="E90" s="24">
        <f t="shared" si="13"/>
        <v>0</v>
      </c>
      <c r="F90" s="25">
        <f t="shared" si="4"/>
        <v>0</v>
      </c>
    </row>
    <row r="91" spans="2:6" ht="20.25" customHeight="1" x14ac:dyDescent="0.25">
      <c r="B91" s="91" t="s">
        <v>100</v>
      </c>
      <c r="C91" s="88"/>
      <c r="D91" s="26">
        <f t="shared" ref="D91:E91" si="14">SUM(D90,D86,D82,D79,D73)</f>
        <v>37000</v>
      </c>
      <c r="E91" s="26">
        <f t="shared" si="14"/>
        <v>444000</v>
      </c>
      <c r="F91" s="27">
        <f t="shared" si="4"/>
        <v>0.44400000000000001</v>
      </c>
    </row>
    <row r="92" spans="2:6" ht="20.25" customHeight="1" x14ac:dyDescent="0.25">
      <c r="B92" s="92" t="s">
        <v>101</v>
      </c>
      <c r="C92" s="88"/>
      <c r="D92" s="28">
        <f>E92/12</f>
        <v>46333.333333333336</v>
      </c>
      <c r="E92" s="28">
        <f>F62-E91</f>
        <v>556000</v>
      </c>
      <c r="F92" s="29">
        <f t="shared" si="4"/>
        <v>0.55600000000000005</v>
      </c>
    </row>
    <row r="93" spans="2:6" ht="20.25" customHeight="1" x14ac:dyDescent="0.25">
      <c r="B93" s="87" t="s">
        <v>102</v>
      </c>
      <c r="C93" s="88"/>
      <c r="D93" s="23">
        <v>4050</v>
      </c>
      <c r="E93" s="23">
        <f t="shared" ref="E93:E100" si="15">D93*12</f>
        <v>48600</v>
      </c>
      <c r="F93" s="22">
        <f t="shared" si="4"/>
        <v>4.8599999999999997E-2</v>
      </c>
    </row>
    <row r="94" spans="2:6" ht="20.25" customHeight="1" x14ac:dyDescent="0.25">
      <c r="B94" s="87" t="s">
        <v>103</v>
      </c>
      <c r="C94" s="88"/>
      <c r="D94" s="23">
        <v>0</v>
      </c>
      <c r="E94" s="23">
        <f t="shared" si="15"/>
        <v>0</v>
      </c>
      <c r="F94" s="22">
        <f t="shared" si="4"/>
        <v>0</v>
      </c>
    </row>
    <row r="95" spans="2:6" ht="20.25" customHeight="1" x14ac:dyDescent="0.25">
      <c r="B95" s="87" t="s">
        <v>104</v>
      </c>
      <c r="C95" s="88"/>
      <c r="D95" s="23">
        <v>0</v>
      </c>
      <c r="E95" s="23">
        <f t="shared" si="15"/>
        <v>0</v>
      </c>
      <c r="F95" s="22">
        <f t="shared" si="4"/>
        <v>0</v>
      </c>
    </row>
    <row r="96" spans="2:6" ht="20.25" customHeight="1" x14ac:dyDescent="0.25">
      <c r="B96" s="87" t="s">
        <v>105</v>
      </c>
      <c r="C96" s="88"/>
      <c r="D96" s="23">
        <v>0</v>
      </c>
      <c r="E96" s="23">
        <f t="shared" si="15"/>
        <v>0</v>
      </c>
      <c r="F96" s="22">
        <f t="shared" si="4"/>
        <v>0</v>
      </c>
    </row>
    <row r="97" spans="2:6" ht="20.25" customHeight="1" x14ac:dyDescent="0.25">
      <c r="B97" s="87" t="s">
        <v>106</v>
      </c>
      <c r="C97" s="88"/>
      <c r="D97" s="23">
        <v>0</v>
      </c>
      <c r="E97" s="23">
        <f t="shared" si="15"/>
        <v>0</v>
      </c>
      <c r="F97" s="22">
        <f t="shared" si="4"/>
        <v>0</v>
      </c>
    </row>
    <row r="98" spans="2:6" ht="20.25" customHeight="1" x14ac:dyDescent="0.25">
      <c r="B98" s="87" t="s">
        <v>107</v>
      </c>
      <c r="C98" s="88"/>
      <c r="D98" s="23">
        <v>10000</v>
      </c>
      <c r="E98" s="23">
        <f t="shared" si="15"/>
        <v>120000</v>
      </c>
      <c r="F98" s="22">
        <f t="shared" si="4"/>
        <v>0.12</v>
      </c>
    </row>
    <row r="99" spans="2:6" ht="20.25" customHeight="1" x14ac:dyDescent="0.25">
      <c r="B99" s="91" t="s">
        <v>108</v>
      </c>
      <c r="C99" s="88"/>
      <c r="D99" s="26">
        <f>SUM(D93:D98)</f>
        <v>14050</v>
      </c>
      <c r="E99" s="26">
        <f t="shared" si="15"/>
        <v>168600</v>
      </c>
      <c r="F99" s="27">
        <f t="shared" si="4"/>
        <v>0.1686</v>
      </c>
    </row>
    <row r="100" spans="2:6" ht="20.25" customHeight="1" x14ac:dyDescent="0.25">
      <c r="B100" s="92" t="s">
        <v>109</v>
      </c>
      <c r="C100" s="88"/>
      <c r="D100" s="28">
        <f>D92-D99</f>
        <v>32283.333333333336</v>
      </c>
      <c r="E100" s="28">
        <f t="shared" si="15"/>
        <v>387400</v>
      </c>
      <c r="F100" s="29">
        <f t="shared" si="4"/>
        <v>0.38740000000000002</v>
      </c>
    </row>
    <row r="101" spans="2:6" ht="20.25" customHeight="1" x14ac:dyDescent="0.25">
      <c r="B101" s="93" t="s">
        <v>110</v>
      </c>
      <c r="C101" s="94"/>
      <c r="D101" s="94"/>
      <c r="E101" s="88"/>
      <c r="F101" s="25">
        <v>7.0000000000000007E-2</v>
      </c>
    </row>
    <row r="102" spans="2:6" ht="20.25" customHeight="1" x14ac:dyDescent="0.25"/>
    <row r="103" spans="2:6" ht="20.25" customHeight="1" x14ac:dyDescent="0.25">
      <c r="B103" s="89" t="s">
        <v>111</v>
      </c>
      <c r="C103" s="86"/>
      <c r="D103" s="86"/>
      <c r="E103" s="86"/>
      <c r="F103" s="86"/>
    </row>
    <row r="104" spans="2:6" ht="20.25" customHeight="1" x14ac:dyDescent="0.25">
      <c r="B104" s="90" t="s">
        <v>3</v>
      </c>
      <c r="C104" s="88"/>
      <c r="D104" s="6" t="str">
        <f>C6</f>
        <v xml:space="preserve">Partha Lalit </v>
      </c>
      <c r="E104" s="6" t="str">
        <f>E6</f>
        <v>NA</v>
      </c>
      <c r="F104" s="6" t="s">
        <v>112</v>
      </c>
    </row>
    <row r="105" spans="2:6" ht="20.25" customHeight="1" x14ac:dyDescent="0.25">
      <c r="B105" s="87" t="s">
        <v>113</v>
      </c>
      <c r="C105" s="88"/>
      <c r="D105" s="23">
        <v>0</v>
      </c>
      <c r="E105" s="23"/>
      <c r="F105" s="23"/>
    </row>
    <row r="106" spans="2:6" ht="20.25" customHeight="1" x14ac:dyDescent="0.25">
      <c r="B106" s="87" t="s">
        <v>114</v>
      </c>
      <c r="C106" s="88"/>
      <c r="D106" s="23">
        <v>1</v>
      </c>
      <c r="E106" s="23"/>
      <c r="F106" s="23"/>
    </row>
    <row r="107" spans="2:6" ht="20.25" customHeight="1" x14ac:dyDescent="0.25">
      <c r="B107" s="87" t="s">
        <v>115</v>
      </c>
      <c r="C107" s="88"/>
      <c r="D107" s="23">
        <v>0</v>
      </c>
      <c r="E107" s="23"/>
      <c r="F107" s="23"/>
    </row>
    <row r="108" spans="2:6" ht="20.25" customHeight="1" x14ac:dyDescent="0.25">
      <c r="B108" s="87" t="s">
        <v>116</v>
      </c>
      <c r="C108" s="88"/>
      <c r="D108" s="23">
        <v>0</v>
      </c>
      <c r="E108" s="23"/>
      <c r="F108" s="23"/>
    </row>
    <row r="109" spans="2:6" ht="20.25" customHeight="1" x14ac:dyDescent="0.25">
      <c r="B109" s="87" t="s">
        <v>44</v>
      </c>
      <c r="C109" s="88"/>
      <c r="D109" s="23"/>
      <c r="E109" s="30"/>
      <c r="F109" s="23"/>
    </row>
    <row r="110" spans="2:6" ht="20.25" customHeight="1" x14ac:dyDescent="0.25">
      <c r="B110" s="96" t="s">
        <v>117</v>
      </c>
      <c r="C110" s="88"/>
      <c r="D110" s="24">
        <f t="shared" ref="D110:F110" si="16">SUM(D105:D109)</f>
        <v>1</v>
      </c>
      <c r="E110" s="24">
        <f t="shared" si="16"/>
        <v>0</v>
      </c>
      <c r="F110" s="24">
        <f t="shared" si="16"/>
        <v>0</v>
      </c>
    </row>
    <row r="111" spans="2:6" ht="20.25" customHeight="1" x14ac:dyDescent="0.25">
      <c r="B111" s="87" t="s">
        <v>118</v>
      </c>
      <c r="C111" s="88"/>
      <c r="D111" s="23">
        <v>0</v>
      </c>
      <c r="E111" s="23"/>
      <c r="F111" s="23"/>
    </row>
    <row r="112" spans="2:6" ht="20.25" customHeight="1" x14ac:dyDescent="0.25">
      <c r="B112" s="87" t="s">
        <v>119</v>
      </c>
      <c r="C112" s="88"/>
      <c r="D112" s="23">
        <v>35000</v>
      </c>
      <c r="E112" s="23"/>
      <c r="F112" s="23"/>
    </row>
    <row r="113" spans="2:14" ht="20.25" customHeight="1" x14ac:dyDescent="0.25">
      <c r="B113" s="87" t="s">
        <v>120</v>
      </c>
      <c r="C113" s="88"/>
      <c r="D113" s="23">
        <v>0</v>
      </c>
      <c r="E113" s="23"/>
      <c r="F113" s="23"/>
    </row>
    <row r="114" spans="2:14" ht="20.25" customHeight="1" x14ac:dyDescent="0.25">
      <c r="B114" s="96" t="s">
        <v>121</v>
      </c>
      <c r="C114" s="88"/>
      <c r="D114" s="24">
        <f t="shared" ref="D114:F114" si="17">SUM(D111:D113)</f>
        <v>35000</v>
      </c>
      <c r="E114" s="24">
        <f t="shared" si="17"/>
        <v>0</v>
      </c>
      <c r="F114" s="24">
        <f t="shared" si="17"/>
        <v>0</v>
      </c>
    </row>
    <row r="115" spans="2:14" ht="20.25" customHeight="1" x14ac:dyDescent="0.25">
      <c r="B115" s="87" t="s">
        <v>122</v>
      </c>
      <c r="C115" s="88"/>
      <c r="D115" s="23">
        <v>0</v>
      </c>
      <c r="E115" s="23"/>
      <c r="F115" s="23"/>
    </row>
    <row r="116" spans="2:14" ht="20.25" customHeight="1" x14ac:dyDescent="0.25">
      <c r="B116" s="87" t="s">
        <v>123</v>
      </c>
      <c r="C116" s="88"/>
      <c r="D116" s="23">
        <v>0</v>
      </c>
      <c r="E116" s="23"/>
      <c r="F116" s="23"/>
    </row>
    <row r="117" spans="2:14" ht="20.25" customHeight="1" x14ac:dyDescent="0.25">
      <c r="B117" s="87" t="s">
        <v>124</v>
      </c>
      <c r="C117" s="88"/>
      <c r="D117" s="23">
        <v>0</v>
      </c>
      <c r="E117" s="23"/>
      <c r="F117" s="23"/>
    </row>
    <row r="118" spans="2:14" ht="40.5" customHeight="1" x14ac:dyDescent="0.25">
      <c r="B118" s="87" t="s">
        <v>125</v>
      </c>
      <c r="C118" s="88"/>
      <c r="D118" s="23">
        <v>0</v>
      </c>
      <c r="E118" s="23"/>
      <c r="F118" s="23"/>
      <c r="I118" s="83" t="s">
        <v>126</v>
      </c>
      <c r="J118" s="84"/>
      <c r="K118" s="84"/>
      <c r="L118" s="84"/>
      <c r="M118" s="84"/>
      <c r="N118" s="84"/>
    </row>
    <row r="119" spans="2:14" ht="40.5" customHeight="1" x14ac:dyDescent="0.25">
      <c r="B119" s="87" t="s">
        <v>127</v>
      </c>
      <c r="C119" s="88"/>
      <c r="D119" s="23">
        <v>0</v>
      </c>
      <c r="E119" s="23"/>
      <c r="F119" s="23"/>
      <c r="I119" s="85"/>
      <c r="J119" s="86"/>
      <c r="K119" s="86"/>
      <c r="L119" s="86"/>
      <c r="M119" s="86"/>
      <c r="N119" s="86"/>
    </row>
    <row r="120" spans="2:14" ht="20.25" customHeight="1" x14ac:dyDescent="0.25">
      <c r="B120" s="87" t="s">
        <v>128</v>
      </c>
      <c r="C120" s="88"/>
      <c r="D120" s="23"/>
      <c r="E120" s="23"/>
      <c r="F120" s="23"/>
    </row>
    <row r="121" spans="2:14" ht="20.25" customHeight="1" x14ac:dyDescent="0.25">
      <c r="B121" s="87" t="s">
        <v>129</v>
      </c>
      <c r="C121" s="88"/>
      <c r="D121" s="23">
        <v>0</v>
      </c>
      <c r="E121" s="23"/>
      <c r="F121" s="23"/>
    </row>
    <row r="122" spans="2:14" ht="20.25" customHeight="1" x14ac:dyDescent="0.25">
      <c r="B122" s="87" t="s">
        <v>130</v>
      </c>
      <c r="C122" s="88"/>
      <c r="D122" s="23">
        <v>0</v>
      </c>
      <c r="E122" s="23"/>
      <c r="F122" s="23"/>
    </row>
    <row r="123" spans="2:14" ht="20.25" customHeight="1" x14ac:dyDescent="0.25">
      <c r="B123" s="87" t="s">
        <v>131</v>
      </c>
      <c r="C123" s="88"/>
      <c r="D123" s="23">
        <v>0</v>
      </c>
      <c r="E123" s="23"/>
      <c r="F123" s="23"/>
    </row>
    <row r="124" spans="2:14" ht="20.25" customHeight="1" x14ac:dyDescent="0.25">
      <c r="B124" s="87" t="s">
        <v>132</v>
      </c>
      <c r="C124" s="88"/>
      <c r="D124" s="23">
        <v>0</v>
      </c>
      <c r="E124" s="23"/>
      <c r="F124" s="23"/>
    </row>
    <row r="125" spans="2:14" ht="20.25" customHeight="1" x14ac:dyDescent="0.25">
      <c r="B125" s="87" t="s">
        <v>133</v>
      </c>
      <c r="C125" s="88"/>
      <c r="D125" s="23">
        <v>0</v>
      </c>
      <c r="E125" s="23"/>
      <c r="F125" s="23"/>
    </row>
    <row r="126" spans="2:14" ht="20.25" customHeight="1" x14ac:dyDescent="0.25">
      <c r="B126" s="87" t="s">
        <v>134</v>
      </c>
      <c r="C126" s="88"/>
      <c r="D126" s="23">
        <v>0</v>
      </c>
      <c r="E126" s="23"/>
      <c r="F126" s="23"/>
    </row>
    <row r="127" spans="2:14" ht="20.25" customHeight="1" x14ac:dyDescent="0.25">
      <c r="B127" s="87" t="s">
        <v>135</v>
      </c>
      <c r="C127" s="88"/>
      <c r="D127" s="23">
        <v>0</v>
      </c>
      <c r="E127" s="23"/>
      <c r="F127" s="23"/>
    </row>
    <row r="128" spans="2:14" ht="20.25" customHeight="1" x14ac:dyDescent="0.25">
      <c r="B128" s="87" t="s">
        <v>136</v>
      </c>
      <c r="C128" s="88"/>
      <c r="D128" s="23">
        <v>0</v>
      </c>
      <c r="E128" s="23"/>
      <c r="F128" s="23"/>
    </row>
    <row r="129" spans="2:6" ht="20.25" customHeight="1" x14ac:dyDescent="0.25">
      <c r="B129" s="87" t="s">
        <v>137</v>
      </c>
      <c r="C129" s="88"/>
      <c r="D129" s="23">
        <v>0</v>
      </c>
      <c r="E129" s="23"/>
      <c r="F129" s="23"/>
    </row>
    <row r="130" spans="2:6" ht="20.25" customHeight="1" x14ac:dyDescent="0.25">
      <c r="B130" s="96" t="s">
        <v>138</v>
      </c>
      <c r="C130" s="88"/>
      <c r="D130" s="24">
        <f t="shared" ref="D130:F130" si="18">SUM(D115:D129)</f>
        <v>0</v>
      </c>
      <c r="E130" s="24">
        <f t="shared" si="18"/>
        <v>0</v>
      </c>
      <c r="F130" s="24">
        <f t="shared" si="18"/>
        <v>0</v>
      </c>
    </row>
    <row r="131" spans="2:6" ht="20.25" customHeight="1" x14ac:dyDescent="0.25">
      <c r="B131" s="87" t="s">
        <v>139</v>
      </c>
      <c r="C131" s="88"/>
      <c r="D131" s="24">
        <v>0</v>
      </c>
      <c r="E131" s="24"/>
      <c r="F131" s="24"/>
    </row>
    <row r="132" spans="2:6" ht="20.25" customHeight="1" x14ac:dyDescent="0.25">
      <c r="B132" s="87" t="s">
        <v>140</v>
      </c>
      <c r="C132" s="88"/>
      <c r="D132" s="23">
        <v>0</v>
      </c>
      <c r="E132" s="23"/>
      <c r="F132" s="23"/>
    </row>
    <row r="133" spans="2:6" ht="20.25" customHeight="1" x14ac:dyDescent="0.25">
      <c r="B133" s="87" t="s">
        <v>141</v>
      </c>
      <c r="C133" s="88"/>
      <c r="D133" s="23">
        <v>0</v>
      </c>
      <c r="E133" s="23"/>
      <c r="F133" s="23"/>
    </row>
    <row r="134" spans="2:6" ht="20.25" customHeight="1" x14ac:dyDescent="0.25">
      <c r="B134" s="87" t="s">
        <v>142</v>
      </c>
      <c r="C134" s="88"/>
      <c r="D134" s="23">
        <v>0</v>
      </c>
      <c r="E134" s="23"/>
      <c r="F134" s="23"/>
    </row>
    <row r="135" spans="2:6" ht="20.25" customHeight="1" x14ac:dyDescent="0.25">
      <c r="B135" s="87" t="s">
        <v>143</v>
      </c>
      <c r="C135" s="88"/>
      <c r="D135" s="23">
        <v>133000</v>
      </c>
      <c r="E135" s="23"/>
      <c r="F135" s="23"/>
    </row>
    <row r="136" spans="2:6" ht="20.25" customHeight="1" x14ac:dyDescent="0.25">
      <c r="B136" s="87" t="s">
        <v>144</v>
      </c>
      <c r="C136" s="88"/>
      <c r="D136" s="23">
        <v>0</v>
      </c>
      <c r="E136" s="23"/>
      <c r="F136" s="23"/>
    </row>
    <row r="137" spans="2:6" ht="20.25" customHeight="1" x14ac:dyDescent="0.25">
      <c r="B137" s="87" t="s">
        <v>145</v>
      </c>
      <c r="C137" s="88"/>
      <c r="D137" s="23">
        <v>0</v>
      </c>
      <c r="E137" s="23"/>
      <c r="F137" s="23"/>
    </row>
    <row r="138" spans="2:6" ht="20.25" customHeight="1" x14ac:dyDescent="0.25">
      <c r="B138" s="87" t="s">
        <v>146</v>
      </c>
      <c r="C138" s="88"/>
      <c r="D138" s="23">
        <v>6500</v>
      </c>
      <c r="E138" s="23"/>
      <c r="F138" s="23"/>
    </row>
    <row r="139" spans="2:6" ht="20.25" customHeight="1" x14ac:dyDescent="0.25">
      <c r="B139" s="87" t="s">
        <v>147</v>
      </c>
      <c r="C139" s="88"/>
      <c r="D139" s="23">
        <v>0</v>
      </c>
      <c r="E139" s="23"/>
      <c r="F139" s="23"/>
    </row>
    <row r="140" spans="2:6" ht="20.25" customHeight="1" x14ac:dyDescent="0.25">
      <c r="B140" s="96" t="s">
        <v>148</v>
      </c>
      <c r="C140" s="88"/>
      <c r="D140" s="24">
        <f t="shared" ref="D140:F140" si="19">SUM(D131:D139)</f>
        <v>139500</v>
      </c>
      <c r="E140" s="24">
        <f t="shared" si="19"/>
        <v>0</v>
      </c>
      <c r="F140" s="24">
        <f t="shared" si="19"/>
        <v>0</v>
      </c>
    </row>
    <row r="141" spans="2:6" ht="20.25" customHeight="1" x14ac:dyDescent="0.25">
      <c r="B141" s="96" t="s">
        <v>149</v>
      </c>
      <c r="C141" s="88"/>
      <c r="D141" s="24">
        <v>0</v>
      </c>
      <c r="E141" s="24"/>
      <c r="F141" s="24"/>
    </row>
    <row r="142" spans="2:6" ht="20.25" customHeight="1" x14ac:dyDescent="0.25">
      <c r="B142" s="96" t="s">
        <v>150</v>
      </c>
      <c r="C142" s="88"/>
      <c r="D142" s="31">
        <v>0</v>
      </c>
      <c r="E142" s="31"/>
      <c r="F142" s="31"/>
    </row>
    <row r="143" spans="2:6" ht="20.25" customHeight="1" x14ac:dyDescent="0.25">
      <c r="B143" s="96" t="s">
        <v>151</v>
      </c>
      <c r="C143" s="88"/>
      <c r="D143" s="31">
        <v>0</v>
      </c>
      <c r="E143" s="31"/>
      <c r="F143" s="31"/>
    </row>
    <row r="144" spans="2:6" ht="20.25" customHeight="1" x14ac:dyDescent="0.25">
      <c r="B144" s="96" t="s">
        <v>152</v>
      </c>
      <c r="C144" s="88"/>
      <c r="D144" s="31">
        <v>0</v>
      </c>
      <c r="E144" s="31"/>
      <c r="F144" s="31"/>
    </row>
    <row r="145" spans="2:18" ht="20.25" customHeight="1" x14ac:dyDescent="0.25">
      <c r="B145" s="92" t="s">
        <v>153</v>
      </c>
      <c r="C145" s="88"/>
      <c r="D145" s="28">
        <f t="shared" ref="D145:F145" si="20">SUM(D140:D144,D130,D114,D110)</f>
        <v>174501</v>
      </c>
      <c r="E145" s="28">
        <f t="shared" si="20"/>
        <v>0</v>
      </c>
      <c r="F145" s="28">
        <f t="shared" si="20"/>
        <v>0</v>
      </c>
    </row>
    <row r="146" spans="2:18" ht="20.25" customHeight="1" x14ac:dyDescent="0.25"/>
    <row r="147" spans="2:18" ht="20.25" customHeight="1" x14ac:dyDescent="0.25">
      <c r="B147" s="89" t="s">
        <v>154</v>
      </c>
      <c r="C147" s="86"/>
      <c r="D147" s="86"/>
      <c r="E147" s="86"/>
      <c r="F147" s="86"/>
    </row>
    <row r="148" spans="2:18" ht="20.25" customHeight="1" x14ac:dyDescent="0.25">
      <c r="B148" s="32" t="s">
        <v>3</v>
      </c>
      <c r="C148" s="33" t="s">
        <v>155</v>
      </c>
      <c r="D148" s="34" t="s">
        <v>156</v>
      </c>
      <c r="E148" s="34" t="s">
        <v>157</v>
      </c>
      <c r="F148" s="34" t="s">
        <v>158</v>
      </c>
    </row>
    <row r="149" spans="2:18" ht="20.25" customHeight="1" x14ac:dyDescent="0.25">
      <c r="B149" s="31" t="s">
        <v>159</v>
      </c>
      <c r="C149" s="17">
        <v>0</v>
      </c>
      <c r="D149" s="35"/>
      <c r="E149" s="21"/>
      <c r="F149" s="17"/>
    </row>
    <row r="150" spans="2:18" ht="20.25" customHeight="1" x14ac:dyDescent="0.25">
      <c r="B150" s="31" t="s">
        <v>160</v>
      </c>
      <c r="C150" s="17">
        <v>0</v>
      </c>
      <c r="D150" s="36"/>
      <c r="E150" s="21"/>
      <c r="F150" s="17"/>
    </row>
    <row r="151" spans="2:18" ht="20.25" customHeight="1" x14ac:dyDescent="0.25">
      <c r="B151" s="31" t="s">
        <v>161</v>
      </c>
      <c r="C151" s="17">
        <v>0</v>
      </c>
      <c r="D151" s="36"/>
      <c r="E151" s="21"/>
      <c r="F151" s="17"/>
    </row>
    <row r="152" spans="2:18" ht="20.25" customHeight="1" x14ac:dyDescent="0.25">
      <c r="B152" s="31" t="s">
        <v>162</v>
      </c>
      <c r="C152" s="17">
        <v>0</v>
      </c>
      <c r="D152" s="36"/>
      <c r="E152" s="21"/>
      <c r="F152" s="17"/>
    </row>
    <row r="153" spans="2:18" ht="20.25" customHeight="1" x14ac:dyDescent="0.25">
      <c r="C153" s="19">
        <v>0</v>
      </c>
    </row>
    <row r="154" spans="2:18" ht="15.75" customHeight="1" x14ac:dyDescent="0.3">
      <c r="B154" s="98" t="s">
        <v>163</v>
      </c>
      <c r="C154" s="94"/>
      <c r="D154" s="94"/>
      <c r="E154" s="88"/>
      <c r="R154" s="37"/>
    </row>
    <row r="155" spans="2:18" ht="15.75" customHeight="1" x14ac:dyDescent="0.3">
      <c r="B155" s="95" t="s">
        <v>164</v>
      </c>
      <c r="C155" s="94"/>
      <c r="D155" s="94"/>
      <c r="E155" s="88"/>
      <c r="R155" s="37"/>
    </row>
    <row r="156" spans="2:18" ht="15.75" customHeight="1" x14ac:dyDescent="0.3">
      <c r="B156" s="95" t="s">
        <v>165</v>
      </c>
      <c r="C156" s="94"/>
      <c r="D156" s="94"/>
      <c r="E156" s="88"/>
      <c r="R156" s="37"/>
    </row>
    <row r="157" spans="2:18" ht="15.75" customHeight="1" x14ac:dyDescent="0.3">
      <c r="B157" s="95" t="s">
        <v>166</v>
      </c>
      <c r="C157" s="94"/>
      <c r="D157" s="94"/>
      <c r="E157" s="88"/>
      <c r="R157" s="37"/>
    </row>
    <row r="158" spans="2:18" ht="18" customHeight="1" x14ac:dyDescent="0.25">
      <c r="B158" s="38"/>
      <c r="E158" s="38"/>
    </row>
    <row r="159" spans="2:18" ht="21" customHeight="1" x14ac:dyDescent="0.25">
      <c r="B159" s="98" t="s">
        <v>167</v>
      </c>
      <c r="C159" s="94"/>
      <c r="D159" s="94"/>
      <c r="E159" s="88"/>
    </row>
    <row r="160" spans="2:18" ht="20.25" customHeight="1" x14ac:dyDescent="0.25">
      <c r="B160" s="95" t="s">
        <v>168</v>
      </c>
      <c r="C160" s="94"/>
      <c r="D160" s="94"/>
      <c r="E160" s="88"/>
    </row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3">
    <mergeCell ref="B3:F3"/>
    <mergeCell ref="B4:F4"/>
    <mergeCell ref="C5:D5"/>
    <mergeCell ref="E5:F5"/>
    <mergeCell ref="C6:D6"/>
    <mergeCell ref="E6:F6"/>
    <mergeCell ref="E7:F7"/>
    <mergeCell ref="C7:D7"/>
    <mergeCell ref="C8:D8"/>
    <mergeCell ref="E8:F8"/>
    <mergeCell ref="C9:D9"/>
    <mergeCell ref="E9:F9"/>
    <mergeCell ref="C10:D10"/>
    <mergeCell ref="E10:F10"/>
    <mergeCell ref="C14:D14"/>
    <mergeCell ref="C15:D15"/>
    <mergeCell ref="C16:D16"/>
    <mergeCell ref="C17:D17"/>
    <mergeCell ref="C11:D11"/>
    <mergeCell ref="E11:F11"/>
    <mergeCell ref="C12:D12"/>
    <mergeCell ref="E12:F12"/>
    <mergeCell ref="C13:D13"/>
    <mergeCell ref="E13:F13"/>
    <mergeCell ref="E14:F14"/>
    <mergeCell ref="E15:F15"/>
    <mergeCell ref="E16:F16"/>
    <mergeCell ref="E17:F17"/>
    <mergeCell ref="B19:F19"/>
    <mergeCell ref="B27:F27"/>
    <mergeCell ref="B28:F28"/>
    <mergeCell ref="C29:F29"/>
    <mergeCell ref="B35:F35"/>
    <mergeCell ref="C36:F36"/>
    <mergeCell ref="B42:F42"/>
    <mergeCell ref="B54:F54"/>
    <mergeCell ref="B55:C55"/>
    <mergeCell ref="B120:C120"/>
    <mergeCell ref="B121:C121"/>
    <mergeCell ref="B56:C56"/>
    <mergeCell ref="B57:C57"/>
    <mergeCell ref="B58:C58"/>
    <mergeCell ref="B59:C59"/>
    <mergeCell ref="B60:C60"/>
    <mergeCell ref="B61:C61"/>
    <mergeCell ref="B62:C62"/>
    <mergeCell ref="B63:C63"/>
    <mergeCell ref="B65:F65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55:E155"/>
    <mergeCell ref="B156:E156"/>
    <mergeCell ref="B157:E157"/>
    <mergeCell ref="B159:E159"/>
    <mergeCell ref="B160:E160"/>
    <mergeCell ref="B141:C141"/>
    <mergeCell ref="B142:C142"/>
    <mergeCell ref="B143:C143"/>
    <mergeCell ref="B144:C144"/>
    <mergeCell ref="B145:C145"/>
    <mergeCell ref="B147:F147"/>
    <mergeCell ref="B154:E154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E101"/>
    <mergeCell ref="I118:N119"/>
    <mergeCell ref="B119:C119"/>
    <mergeCell ref="B103:F103"/>
    <mergeCell ref="B104:C104"/>
    <mergeCell ref="B105:C105"/>
    <mergeCell ref="B106:C106"/>
    <mergeCell ref="B107:C107"/>
    <mergeCell ref="B108:C108"/>
    <mergeCell ref="B116:C116"/>
    <mergeCell ref="B117:C117"/>
    <mergeCell ref="B118:C118"/>
    <mergeCell ref="B109:C109"/>
    <mergeCell ref="B110:C110"/>
    <mergeCell ref="B111:C111"/>
    <mergeCell ref="B112:C112"/>
    <mergeCell ref="B113:C113"/>
    <mergeCell ref="B114:C114"/>
    <mergeCell ref="B115:C115"/>
  </mergeCells>
  <dataValidations count="3">
    <dataValidation type="list" allowBlank="1" showErrorMessage="1" sqref="G39 C40:E40" xr:uid="{00000000-0002-0000-0000-000000000000}">
      <formula1>#REF!</formula1>
    </dataValidation>
    <dataValidation type="list" allowBlank="1" showErrorMessage="1" sqref="C7 E7" xr:uid="{00000000-0002-0000-0000-000001000000}">
      <formula1>"Business,Private Sector Job,Home Maker,Retired,Freelancer,Professional"</formula1>
    </dataValidation>
    <dataValidation type="list" allowBlank="1" showErrorMessage="1" sqref="C22:H22" xr:uid="{00000000-0002-0000-0000-000002000000}">
      <formula1>"Financially Dependent,Financially Not Dependent"</formula1>
    </dataValidation>
  </dataValidations>
  <pageMargins left="0.70866141732283505" right="0.70866141732283505" top="0.74803149606299202" bottom="0.74803149606299202" header="0" footer="0"/>
  <pageSetup paperSize="9" orientation="portrait"/>
  <rowBreaks count="2" manualBreakCount="2">
    <brk id="101" man="1"/>
    <brk id="15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>
      <selection activeCell="C16" sqref="C16"/>
    </sheetView>
  </sheetViews>
  <sheetFormatPr defaultColWidth="12.59765625" defaultRowHeight="15" customHeight="1" x14ac:dyDescent="0.25"/>
  <cols>
    <col min="1" max="1" width="8.8984375" customWidth="1"/>
    <col min="2" max="2" width="45.69921875" customWidth="1"/>
    <col min="3" max="5" width="15.69921875" customWidth="1"/>
    <col min="6" max="6" width="16" customWidth="1"/>
    <col min="7" max="11" width="8.8984375" customWidth="1"/>
    <col min="12" max="26" width="14.3984375" customWidth="1"/>
  </cols>
  <sheetData>
    <row r="1" spans="1:11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.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9.5" customHeight="1" x14ac:dyDescent="0.25">
      <c r="A3" s="39"/>
      <c r="B3" s="89" t="s">
        <v>169</v>
      </c>
      <c r="C3" s="86"/>
      <c r="D3" s="86"/>
      <c r="E3" s="86"/>
      <c r="F3" s="86"/>
      <c r="G3" s="39"/>
      <c r="H3" s="39"/>
      <c r="I3" s="39"/>
      <c r="J3" s="39"/>
      <c r="K3" s="39"/>
    </row>
    <row r="4" spans="1:11" ht="19.5" customHeight="1" x14ac:dyDescent="0.25">
      <c r="A4" s="39"/>
      <c r="B4" s="6" t="s">
        <v>3</v>
      </c>
      <c r="C4" s="90" t="s">
        <v>4</v>
      </c>
      <c r="D4" s="88"/>
      <c r="E4" s="90" t="s">
        <v>5</v>
      </c>
      <c r="F4" s="88"/>
      <c r="G4" s="39"/>
      <c r="H4" s="39"/>
      <c r="I4" s="39"/>
      <c r="J4" s="39"/>
      <c r="K4" s="39"/>
    </row>
    <row r="5" spans="1:11" ht="19.5" customHeight="1" x14ac:dyDescent="0.25">
      <c r="A5" s="39"/>
      <c r="B5" s="7" t="s">
        <v>170</v>
      </c>
      <c r="C5" s="109">
        <f>943600</f>
        <v>943600</v>
      </c>
      <c r="D5" s="88"/>
      <c r="E5" s="102"/>
      <c r="F5" s="88"/>
      <c r="G5" s="39"/>
      <c r="H5" s="39"/>
      <c r="I5" s="39"/>
      <c r="J5" s="39"/>
      <c r="K5" s="39"/>
    </row>
    <row r="6" spans="1:11" ht="19.5" customHeight="1" x14ac:dyDescent="0.25">
      <c r="A6" s="39"/>
      <c r="B6" s="7" t="s">
        <v>171</v>
      </c>
      <c r="C6" s="102">
        <f>4050*12</f>
        <v>48600</v>
      </c>
      <c r="D6" s="88"/>
      <c r="E6" s="102"/>
      <c r="F6" s="88"/>
      <c r="G6" s="39"/>
      <c r="H6" s="39"/>
      <c r="I6" s="39"/>
      <c r="J6" s="39"/>
      <c r="K6" s="39"/>
    </row>
    <row r="7" spans="1:11" ht="19.5" customHeight="1" x14ac:dyDescent="0.25">
      <c r="A7" s="39"/>
      <c r="B7" s="7" t="s">
        <v>172</v>
      </c>
      <c r="C7" s="102">
        <v>48600</v>
      </c>
      <c r="D7" s="88"/>
      <c r="E7" s="102"/>
      <c r="F7" s="88"/>
      <c r="G7" s="39"/>
      <c r="H7" s="39"/>
      <c r="I7" s="39"/>
      <c r="J7" s="39"/>
      <c r="K7" s="39"/>
    </row>
    <row r="8" spans="1:11" ht="19.5" customHeight="1" x14ac:dyDescent="0.25">
      <c r="A8" s="39"/>
      <c r="B8" s="7" t="s">
        <v>173</v>
      </c>
      <c r="C8" s="102" t="s">
        <v>174</v>
      </c>
      <c r="D8" s="88"/>
      <c r="E8" s="102" t="s">
        <v>175</v>
      </c>
      <c r="F8" s="88"/>
      <c r="G8" s="39"/>
      <c r="H8" s="39"/>
      <c r="I8" s="39"/>
      <c r="J8" s="39"/>
      <c r="K8" s="39"/>
    </row>
    <row r="9" spans="1:11" ht="19.5" customHeight="1" x14ac:dyDescent="0.25">
      <c r="A9" s="39"/>
      <c r="B9" s="7" t="s">
        <v>176</v>
      </c>
      <c r="C9" s="102">
        <v>0</v>
      </c>
      <c r="D9" s="88"/>
      <c r="E9" s="102"/>
      <c r="F9" s="88"/>
      <c r="G9" s="39"/>
      <c r="H9" s="39"/>
      <c r="I9" s="39"/>
      <c r="J9" s="39"/>
      <c r="K9" s="39"/>
    </row>
    <row r="10" spans="1:11" ht="19.5" customHeight="1" x14ac:dyDescent="0.25">
      <c r="A10" s="39"/>
      <c r="B10" s="7" t="s">
        <v>177</v>
      </c>
      <c r="C10" s="102" t="s">
        <v>175</v>
      </c>
      <c r="D10" s="88"/>
      <c r="E10" s="102" t="s">
        <v>175</v>
      </c>
      <c r="F10" s="88"/>
      <c r="G10" s="39"/>
      <c r="H10" s="39"/>
      <c r="I10" s="39"/>
      <c r="J10" s="39"/>
      <c r="K10" s="39"/>
    </row>
    <row r="11" spans="1:11" ht="19.5" customHeight="1" x14ac:dyDescent="0.25">
      <c r="A11" s="39"/>
      <c r="B11" s="7" t="s">
        <v>178</v>
      </c>
      <c r="C11" s="102">
        <v>0</v>
      </c>
      <c r="D11" s="88"/>
      <c r="E11" s="102"/>
      <c r="F11" s="88"/>
      <c r="G11" s="39"/>
      <c r="H11" s="39"/>
      <c r="I11" s="39"/>
      <c r="J11" s="39"/>
      <c r="K11" s="39"/>
    </row>
    <row r="12" spans="1:11" ht="19.5" customHeight="1" x14ac:dyDescent="0.25">
      <c r="A12" s="39"/>
      <c r="B12" s="7" t="s">
        <v>179</v>
      </c>
      <c r="C12" s="123">
        <v>1000000</v>
      </c>
      <c r="D12" s="88"/>
      <c r="E12" s="102"/>
      <c r="F12" s="88"/>
      <c r="G12" s="39"/>
      <c r="H12" s="39"/>
      <c r="I12" s="39"/>
      <c r="J12" s="39"/>
      <c r="K12" s="39"/>
    </row>
    <row r="13" spans="1:11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4" x14ac:dyDescent="0.3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/>
    <row r="102" spans="1:11" ht="15.75" customHeight="1" x14ac:dyDescent="0.25"/>
    <row r="103" spans="1:11" ht="15.75" customHeight="1" x14ac:dyDescent="0.25"/>
    <row r="104" spans="1:11" ht="15.75" customHeight="1" x14ac:dyDescent="0.25"/>
    <row r="105" spans="1:11" ht="15.75" customHeight="1" x14ac:dyDescent="0.25"/>
    <row r="106" spans="1:11" ht="15.75" customHeight="1" x14ac:dyDescent="0.25"/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B3:F3"/>
    <mergeCell ref="C4:D4"/>
    <mergeCell ref="E4:F4"/>
    <mergeCell ref="C5:D5"/>
    <mergeCell ref="E5:F5"/>
    <mergeCell ref="C6:D6"/>
    <mergeCell ref="E6:F6"/>
    <mergeCell ref="C10:D10"/>
    <mergeCell ref="C11:D11"/>
    <mergeCell ref="C12:D12"/>
    <mergeCell ref="E11:F11"/>
    <mergeCell ref="E12:F12"/>
    <mergeCell ref="C7:D7"/>
    <mergeCell ref="E7:F7"/>
    <mergeCell ref="C8:D8"/>
    <mergeCell ref="E8:F8"/>
    <mergeCell ref="C9:D9"/>
    <mergeCell ref="E9:F9"/>
    <mergeCell ref="E10:F1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showGridLines="0" tabSelected="1" workbookViewId="0">
      <selection activeCell="B3" sqref="B3:K3"/>
    </sheetView>
  </sheetViews>
  <sheetFormatPr defaultColWidth="12.59765625" defaultRowHeight="15" customHeight="1" x14ac:dyDescent="0.25"/>
  <cols>
    <col min="1" max="1" width="3.69921875" customWidth="1"/>
    <col min="2" max="2" width="6" customWidth="1"/>
    <col min="3" max="3" width="14" customWidth="1"/>
    <col min="4" max="4" width="12.09765625" customWidth="1"/>
    <col min="5" max="5" width="15.69921875" customWidth="1"/>
    <col min="6" max="6" width="18.8984375" customWidth="1"/>
    <col min="7" max="7" width="9.09765625" customWidth="1"/>
    <col min="8" max="8" width="16.3984375" customWidth="1"/>
    <col min="9" max="9" width="10.8984375" customWidth="1"/>
    <col min="10" max="10" width="8.09765625" customWidth="1"/>
    <col min="11" max="11" width="16.8984375" customWidth="1"/>
    <col min="12" max="12" width="9.19921875" customWidth="1"/>
    <col min="13" max="14" width="9.09765625" customWidth="1"/>
    <col min="15" max="26" width="14.3984375" customWidth="1"/>
  </cols>
  <sheetData>
    <row r="1" spans="1:14" ht="39" customHeight="1" x14ac:dyDescent="0.25">
      <c r="A1" s="4"/>
      <c r="B1" s="112" t="s">
        <v>180</v>
      </c>
      <c r="C1" s="113"/>
      <c r="D1" s="113"/>
      <c r="E1" s="113"/>
      <c r="F1" s="113"/>
      <c r="G1" s="113"/>
      <c r="H1" s="113"/>
      <c r="I1" s="113"/>
      <c r="J1" s="113"/>
      <c r="K1" s="114"/>
      <c r="L1" s="40"/>
      <c r="M1" s="4"/>
      <c r="N1" s="4"/>
    </row>
    <row r="2" spans="1:14" ht="39" customHeight="1" x14ac:dyDescent="0.25">
      <c r="A2" s="4"/>
      <c r="B2" s="115"/>
      <c r="C2" s="116"/>
      <c r="D2" s="116"/>
      <c r="E2" s="116"/>
      <c r="F2" s="116"/>
      <c r="G2" s="116"/>
      <c r="H2" s="116"/>
      <c r="I2" s="116"/>
      <c r="J2" s="116"/>
      <c r="K2" s="117"/>
      <c r="L2" s="40"/>
      <c r="M2" s="4"/>
      <c r="N2" s="4"/>
    </row>
    <row r="3" spans="1:14" ht="39" customHeight="1" x14ac:dyDescent="0.25">
      <c r="A3" s="4"/>
      <c r="B3" s="118" t="s">
        <v>181</v>
      </c>
      <c r="C3" s="111"/>
      <c r="D3" s="111"/>
      <c r="E3" s="111"/>
      <c r="F3" s="111"/>
      <c r="G3" s="111"/>
      <c r="H3" s="111"/>
      <c r="I3" s="111"/>
      <c r="J3" s="111"/>
      <c r="K3" s="111"/>
      <c r="L3" s="40"/>
      <c r="M3" s="4"/>
      <c r="N3" s="4"/>
    </row>
    <row r="4" spans="1:14" ht="30.75" customHeight="1" x14ac:dyDescent="0.25">
      <c r="A4" s="4"/>
      <c r="B4" s="6" t="s">
        <v>182</v>
      </c>
      <c r="C4" s="41" t="s">
        <v>183</v>
      </c>
      <c r="D4" s="41" t="s">
        <v>184</v>
      </c>
      <c r="E4" s="6" t="s">
        <v>185</v>
      </c>
      <c r="F4" s="6" t="s">
        <v>186</v>
      </c>
      <c r="G4" s="6" t="s">
        <v>46</v>
      </c>
      <c r="H4" s="6" t="s">
        <v>187</v>
      </c>
      <c r="I4" s="6" t="s">
        <v>188</v>
      </c>
      <c r="J4" s="6" t="s">
        <v>189</v>
      </c>
      <c r="K4" s="6"/>
      <c r="L4" s="4"/>
      <c r="M4" s="4"/>
      <c r="N4" s="4"/>
    </row>
    <row r="5" spans="1:14" ht="20.25" customHeight="1" x14ac:dyDescent="0.25">
      <c r="A5" s="4"/>
      <c r="B5" s="18">
        <v>1</v>
      </c>
      <c r="C5" s="42"/>
      <c r="D5" s="43"/>
      <c r="E5" s="18"/>
      <c r="F5" s="18"/>
      <c r="G5" s="44"/>
      <c r="H5" s="45"/>
      <c r="I5" s="16"/>
      <c r="J5" s="21"/>
      <c r="K5" s="18"/>
      <c r="L5" s="4"/>
      <c r="M5" s="4"/>
      <c r="N5" s="4"/>
    </row>
    <row r="6" spans="1:14" ht="20.25" customHeight="1" x14ac:dyDescent="0.25">
      <c r="A6" s="4"/>
      <c r="B6" s="18">
        <v>2</v>
      </c>
      <c r="C6" s="42"/>
      <c r="D6" s="43"/>
      <c r="E6" s="18"/>
      <c r="F6" s="18"/>
      <c r="G6" s="44"/>
      <c r="H6" s="45"/>
      <c r="I6" s="16"/>
      <c r="J6" s="21"/>
      <c r="K6" s="18"/>
      <c r="L6" s="4"/>
      <c r="M6" s="4"/>
      <c r="N6" s="4"/>
    </row>
    <row r="7" spans="1:14" ht="20.25" customHeight="1" x14ac:dyDescent="0.25">
      <c r="A7" s="4"/>
      <c r="B7" s="18">
        <v>3</v>
      </c>
      <c r="C7" s="42"/>
      <c r="D7" s="43"/>
      <c r="E7" s="18"/>
      <c r="F7" s="18"/>
      <c r="G7" s="44"/>
      <c r="H7" s="45"/>
      <c r="I7" s="16"/>
      <c r="J7" s="21"/>
      <c r="K7" s="18"/>
      <c r="L7" s="4"/>
      <c r="M7" s="4"/>
      <c r="N7" s="4"/>
    </row>
    <row r="8" spans="1:14" ht="20.25" customHeight="1" x14ac:dyDescent="0.25">
      <c r="A8" s="4"/>
      <c r="B8" s="18">
        <v>4</v>
      </c>
      <c r="C8" s="42"/>
      <c r="D8" s="43"/>
      <c r="E8" s="18"/>
      <c r="F8" s="18"/>
      <c r="G8" s="44"/>
      <c r="H8" s="45"/>
      <c r="I8" s="16"/>
      <c r="J8" s="21"/>
      <c r="K8" s="18"/>
      <c r="L8" s="4"/>
      <c r="M8" s="4"/>
      <c r="N8" s="4"/>
    </row>
    <row r="9" spans="1:14" ht="20.25" customHeight="1" x14ac:dyDescent="0.25">
      <c r="A9" s="4"/>
      <c r="B9" s="18">
        <v>5</v>
      </c>
      <c r="C9" s="42"/>
      <c r="D9" s="43"/>
      <c r="E9" s="18"/>
      <c r="F9" s="18"/>
      <c r="G9" s="44"/>
      <c r="H9" s="45"/>
      <c r="I9" s="16"/>
      <c r="J9" s="21"/>
      <c r="K9" s="18"/>
      <c r="L9" s="4"/>
      <c r="M9" s="4"/>
      <c r="N9" s="4"/>
    </row>
    <row r="10" spans="1:14" ht="20.25" customHeight="1" x14ac:dyDescent="0.25">
      <c r="A10" s="4"/>
      <c r="B10" s="18">
        <v>6</v>
      </c>
      <c r="C10" s="42"/>
      <c r="D10" s="43"/>
      <c r="E10" s="18"/>
      <c r="F10" s="18"/>
      <c r="G10" s="44"/>
      <c r="H10" s="45"/>
      <c r="I10" s="16"/>
      <c r="J10" s="21"/>
      <c r="K10" s="18"/>
      <c r="L10" s="4"/>
      <c r="M10" s="4"/>
      <c r="N10" s="4"/>
    </row>
    <row r="11" spans="1:14" ht="20.25" customHeight="1" x14ac:dyDescent="0.25">
      <c r="A11" s="4"/>
      <c r="B11" s="18">
        <v>7</v>
      </c>
      <c r="C11" s="42"/>
      <c r="D11" s="43"/>
      <c r="E11" s="18"/>
      <c r="F11" s="18"/>
      <c r="G11" s="44"/>
      <c r="H11" s="45"/>
      <c r="I11" s="16"/>
      <c r="J11" s="21"/>
      <c r="K11" s="18"/>
      <c r="L11" s="4"/>
      <c r="M11" s="4"/>
      <c r="N11" s="4"/>
    </row>
    <row r="12" spans="1:14" ht="20.25" customHeight="1" x14ac:dyDescent="0.25">
      <c r="A12" s="4"/>
      <c r="B12" s="18">
        <v>8</v>
      </c>
      <c r="C12" s="42"/>
      <c r="D12" s="43"/>
      <c r="E12" s="18"/>
      <c r="F12" s="18"/>
      <c r="G12" s="44"/>
      <c r="H12" s="45"/>
      <c r="I12" s="16"/>
      <c r="J12" s="21"/>
      <c r="K12" s="18"/>
      <c r="L12" s="4"/>
      <c r="M12" s="4"/>
      <c r="N12" s="4"/>
    </row>
    <row r="13" spans="1:14" ht="20.25" customHeight="1" x14ac:dyDescent="0.25">
      <c r="A13" s="4"/>
      <c r="B13" s="20"/>
      <c r="C13" s="46" t="s">
        <v>63</v>
      </c>
      <c r="D13" s="47"/>
      <c r="E13" s="20">
        <f t="shared" ref="E13:F13" si="0">SUM(E5:E12)</f>
        <v>0</v>
      </c>
      <c r="F13" s="20">
        <f t="shared" si="0"/>
        <v>0</v>
      </c>
      <c r="G13" s="48"/>
      <c r="H13" s="49"/>
      <c r="I13" s="16"/>
      <c r="J13" s="50"/>
      <c r="K13" s="20">
        <f>SUM(K5:K12)</f>
        <v>0</v>
      </c>
      <c r="L13" s="4"/>
      <c r="M13" s="4"/>
      <c r="N13" s="4"/>
    </row>
    <row r="14" spans="1:14" ht="27.75" customHeight="1" x14ac:dyDescent="0.25">
      <c r="A14" s="4"/>
      <c r="B14" s="3"/>
      <c r="C14" s="51"/>
      <c r="D14" s="52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39" customHeight="1" x14ac:dyDescent="0.25">
      <c r="A15" s="4"/>
      <c r="B15" s="119" t="s">
        <v>190</v>
      </c>
      <c r="C15" s="86"/>
      <c r="D15" s="86"/>
      <c r="E15" s="86"/>
      <c r="F15" s="86"/>
      <c r="G15" s="86"/>
      <c r="H15" s="40"/>
      <c r="I15" s="40"/>
      <c r="J15" s="40"/>
      <c r="K15" s="40"/>
      <c r="L15" s="40"/>
      <c r="M15" s="4"/>
      <c r="N15" s="4"/>
    </row>
    <row r="16" spans="1:14" ht="27.75" customHeight="1" x14ac:dyDescent="0.25">
      <c r="A16" s="4"/>
      <c r="B16" s="6" t="s">
        <v>182</v>
      </c>
      <c r="C16" s="6" t="s">
        <v>191</v>
      </c>
      <c r="D16" s="41" t="s">
        <v>192</v>
      </c>
      <c r="E16" s="6" t="s">
        <v>185</v>
      </c>
      <c r="F16" s="6" t="s">
        <v>46</v>
      </c>
      <c r="G16" s="6" t="s">
        <v>188</v>
      </c>
      <c r="H16" s="4"/>
      <c r="I16" s="4"/>
      <c r="J16" s="4"/>
      <c r="K16" s="4"/>
      <c r="L16" s="4"/>
      <c r="M16" s="4"/>
      <c r="N16" s="4"/>
    </row>
    <row r="17" spans="1:14" ht="20.25" customHeight="1" x14ac:dyDescent="0.25">
      <c r="A17" s="4"/>
      <c r="B17" s="18">
        <v>1</v>
      </c>
      <c r="C17" s="18"/>
      <c r="D17" s="18"/>
      <c r="E17" s="18"/>
      <c r="F17" s="18"/>
      <c r="G17" s="21"/>
      <c r="H17" s="4"/>
      <c r="I17" s="4"/>
      <c r="J17" s="4"/>
      <c r="K17" s="4"/>
      <c r="L17" s="4"/>
      <c r="M17" s="4"/>
      <c r="N17" s="4"/>
    </row>
    <row r="18" spans="1:14" ht="20.25" customHeight="1" x14ac:dyDescent="0.25">
      <c r="A18" s="4"/>
      <c r="B18" s="18">
        <v>2</v>
      </c>
      <c r="C18" s="18"/>
      <c r="D18" s="18"/>
      <c r="E18" s="18"/>
      <c r="F18" s="18"/>
      <c r="G18" s="21"/>
      <c r="H18" s="4"/>
      <c r="I18" s="4"/>
      <c r="J18" s="4"/>
      <c r="K18" s="4"/>
      <c r="L18" s="4"/>
      <c r="M18" s="4"/>
      <c r="N18" s="4"/>
    </row>
    <row r="19" spans="1:14" ht="20.25" customHeight="1" x14ac:dyDescent="0.25">
      <c r="A19" s="4"/>
      <c r="B19" s="18">
        <v>3</v>
      </c>
      <c r="C19" s="18"/>
      <c r="D19" s="18"/>
      <c r="E19" s="18"/>
      <c r="F19" s="18"/>
      <c r="G19" s="21"/>
      <c r="H19" s="4"/>
      <c r="I19" s="4"/>
      <c r="J19" s="4"/>
      <c r="K19" s="4"/>
      <c r="L19" s="4"/>
      <c r="M19" s="4"/>
      <c r="N19" s="4"/>
    </row>
    <row r="20" spans="1:14" ht="20.25" customHeight="1" x14ac:dyDescent="0.25">
      <c r="A20" s="4"/>
      <c r="B20" s="18">
        <v>4</v>
      </c>
      <c r="C20" s="18"/>
      <c r="D20" s="18"/>
      <c r="E20" s="18"/>
      <c r="F20" s="18"/>
      <c r="G20" s="21"/>
      <c r="H20" s="4"/>
      <c r="I20" s="4"/>
      <c r="J20" s="4"/>
      <c r="K20" s="4"/>
      <c r="L20" s="4"/>
      <c r="M20" s="4"/>
      <c r="N20" s="4"/>
    </row>
    <row r="21" spans="1:14" ht="20.25" customHeight="1" x14ac:dyDescent="0.25">
      <c r="A21" s="4"/>
      <c r="B21" s="18">
        <v>5</v>
      </c>
      <c r="C21" s="18"/>
      <c r="D21" s="18"/>
      <c r="E21" s="18"/>
      <c r="F21" s="18"/>
      <c r="G21" s="21"/>
      <c r="H21" s="4"/>
      <c r="I21" s="4"/>
      <c r="J21" s="4"/>
      <c r="K21" s="4"/>
      <c r="L21" s="4"/>
      <c r="M21" s="4"/>
      <c r="N21" s="4"/>
    </row>
    <row r="22" spans="1:14" ht="20.25" customHeight="1" x14ac:dyDescent="0.25">
      <c r="A22" s="53"/>
      <c r="B22" s="18">
        <v>6</v>
      </c>
      <c r="C22" s="18"/>
      <c r="D22" s="18"/>
      <c r="E22" s="18"/>
      <c r="F22" s="18"/>
      <c r="G22" s="21"/>
      <c r="H22" s="4"/>
      <c r="I22" s="53"/>
      <c r="J22" s="53"/>
      <c r="K22" s="53"/>
      <c r="L22" s="53"/>
      <c r="M22" s="53"/>
      <c r="N22" s="53"/>
    </row>
    <row r="23" spans="1:14" ht="20.25" customHeight="1" x14ac:dyDescent="0.25">
      <c r="A23" s="4"/>
      <c r="B23" s="18">
        <v>7</v>
      </c>
      <c r="C23" s="18"/>
      <c r="D23" s="18"/>
      <c r="E23" s="18"/>
      <c r="F23" s="18"/>
      <c r="G23" s="21"/>
      <c r="H23" s="4"/>
      <c r="I23" s="4"/>
      <c r="J23" s="4"/>
      <c r="K23" s="4"/>
      <c r="L23" s="4"/>
      <c r="M23" s="4"/>
      <c r="N23" s="4"/>
    </row>
    <row r="24" spans="1:14" ht="20.25" customHeight="1" x14ac:dyDescent="0.25">
      <c r="A24" s="4"/>
      <c r="B24" s="18">
        <v>8</v>
      </c>
      <c r="C24" s="18"/>
      <c r="D24" s="18"/>
      <c r="E24" s="18"/>
      <c r="F24" s="18"/>
      <c r="G24" s="21"/>
      <c r="H24" s="4"/>
      <c r="I24" s="4"/>
      <c r="J24" s="4"/>
      <c r="K24" s="4"/>
      <c r="L24" s="4"/>
      <c r="M24" s="4"/>
      <c r="N24" s="4"/>
    </row>
    <row r="25" spans="1:14" ht="20.25" customHeight="1" x14ac:dyDescent="0.25">
      <c r="A25" s="4"/>
      <c r="B25" s="18">
        <v>9</v>
      </c>
      <c r="C25" s="18"/>
      <c r="D25" s="18"/>
      <c r="E25" s="18"/>
      <c r="F25" s="18"/>
      <c r="G25" s="21"/>
      <c r="H25" s="4"/>
      <c r="I25" s="4"/>
      <c r="J25" s="4"/>
      <c r="K25" s="4"/>
      <c r="L25" s="4"/>
      <c r="M25" s="4"/>
      <c r="N25" s="4"/>
    </row>
    <row r="26" spans="1:14" ht="20.25" customHeight="1" x14ac:dyDescent="0.25">
      <c r="A26" s="4"/>
      <c r="B26" s="18">
        <v>10</v>
      </c>
      <c r="C26" s="18"/>
      <c r="D26" s="18"/>
      <c r="E26" s="18"/>
      <c r="F26" s="18"/>
      <c r="G26" s="21"/>
      <c r="H26" s="4"/>
      <c r="I26" s="4"/>
      <c r="J26" s="4"/>
      <c r="K26" s="4"/>
      <c r="L26" s="4"/>
      <c r="M26" s="4"/>
      <c r="N26" s="4"/>
    </row>
    <row r="27" spans="1:14" ht="20.25" customHeight="1" x14ac:dyDescent="0.25">
      <c r="A27" s="4"/>
      <c r="B27" s="18">
        <v>11</v>
      </c>
      <c r="C27" s="18"/>
      <c r="D27" s="18"/>
      <c r="E27" s="18"/>
      <c r="F27" s="18"/>
      <c r="G27" s="21"/>
      <c r="H27" s="4"/>
      <c r="I27" s="4"/>
      <c r="J27" s="4"/>
      <c r="K27" s="4"/>
      <c r="L27" s="4"/>
      <c r="M27" s="4"/>
      <c r="N27" s="4"/>
    </row>
    <row r="28" spans="1:14" ht="20.25" customHeight="1" x14ac:dyDescent="0.25">
      <c r="A28" s="4"/>
      <c r="B28" s="18">
        <v>12</v>
      </c>
      <c r="C28" s="18"/>
      <c r="D28" s="18"/>
      <c r="E28" s="18"/>
      <c r="F28" s="18"/>
      <c r="G28" s="21"/>
      <c r="H28" s="4"/>
      <c r="I28" s="4"/>
      <c r="J28" s="4"/>
      <c r="K28" s="4"/>
      <c r="L28" s="4"/>
      <c r="M28" s="4"/>
      <c r="N28" s="4"/>
    </row>
    <row r="29" spans="1:14" ht="20.25" customHeight="1" x14ac:dyDescent="0.25">
      <c r="A29" s="4"/>
      <c r="B29" s="18">
        <v>13</v>
      </c>
      <c r="C29" s="18"/>
      <c r="D29" s="18"/>
      <c r="E29" s="18"/>
      <c r="F29" s="18"/>
      <c r="G29" s="21"/>
      <c r="H29" s="4"/>
      <c r="I29" s="4"/>
      <c r="J29" s="4"/>
      <c r="K29" s="4"/>
      <c r="L29" s="4"/>
      <c r="M29" s="4"/>
      <c r="N29" s="4"/>
    </row>
    <row r="30" spans="1:14" ht="20.25" customHeight="1" x14ac:dyDescent="0.25">
      <c r="A30" s="4"/>
      <c r="B30" s="18">
        <v>14</v>
      </c>
      <c r="C30" s="18"/>
      <c r="D30" s="18"/>
      <c r="E30" s="18"/>
      <c r="F30" s="18"/>
      <c r="G30" s="21"/>
      <c r="H30" s="4"/>
      <c r="I30" s="4"/>
      <c r="J30" s="4"/>
      <c r="K30" s="4"/>
      <c r="L30" s="4"/>
      <c r="M30" s="4"/>
      <c r="N30" s="4"/>
    </row>
    <row r="31" spans="1:14" ht="20.25" customHeight="1" x14ac:dyDescent="0.25">
      <c r="A31" s="4"/>
      <c r="B31" s="18">
        <v>15</v>
      </c>
      <c r="C31" s="18"/>
      <c r="D31" s="18"/>
      <c r="E31" s="18"/>
      <c r="F31" s="18"/>
      <c r="G31" s="21"/>
      <c r="H31" s="4"/>
      <c r="I31" s="4"/>
      <c r="J31" s="4"/>
      <c r="K31" s="4"/>
      <c r="L31" s="4"/>
      <c r="M31" s="4"/>
      <c r="N31" s="4"/>
    </row>
    <row r="32" spans="1:14" ht="20.25" customHeight="1" x14ac:dyDescent="0.25">
      <c r="A32" s="53"/>
      <c r="B32" s="20"/>
      <c r="C32" s="20"/>
      <c r="D32" s="20"/>
      <c r="E32" s="20">
        <f t="shared" ref="E32:F32" si="1">SUM(E17:E31)</f>
        <v>0</v>
      </c>
      <c r="F32" s="20">
        <f t="shared" si="1"/>
        <v>0</v>
      </c>
      <c r="G32" s="21"/>
      <c r="H32" s="53"/>
      <c r="I32" s="53"/>
      <c r="J32" s="53"/>
      <c r="K32" s="53"/>
      <c r="L32" s="53"/>
      <c r="M32" s="53"/>
      <c r="N32" s="53"/>
    </row>
    <row r="33" spans="1:14" ht="20.25" customHeight="1" x14ac:dyDescent="0.25">
      <c r="A33" s="4"/>
      <c r="B33" s="3"/>
      <c r="C33" s="51"/>
      <c r="D33" s="52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20.25" customHeight="1" x14ac:dyDescent="0.25">
      <c r="A34" s="4"/>
      <c r="B34" s="3"/>
      <c r="C34" s="51"/>
      <c r="D34" s="52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39" customHeight="1" x14ac:dyDescent="0.25">
      <c r="A35" s="4"/>
      <c r="B35" s="119" t="s">
        <v>193</v>
      </c>
      <c r="C35" s="86"/>
      <c r="D35" s="86"/>
      <c r="E35" s="86"/>
      <c r="F35" s="86"/>
      <c r="G35" s="86"/>
      <c r="H35" s="86"/>
      <c r="I35" s="86"/>
      <c r="J35" s="86"/>
      <c r="K35" s="86"/>
      <c r="L35" s="54"/>
      <c r="M35" s="54"/>
      <c r="N35" s="54"/>
    </row>
    <row r="36" spans="1:14" ht="30.75" customHeight="1" x14ac:dyDescent="0.25">
      <c r="A36" s="4"/>
      <c r="B36" s="6" t="s">
        <v>182</v>
      </c>
      <c r="C36" s="6" t="s">
        <v>194</v>
      </c>
      <c r="D36" s="6" t="s">
        <v>195</v>
      </c>
      <c r="E36" s="41" t="s">
        <v>184</v>
      </c>
      <c r="F36" s="6" t="s">
        <v>185</v>
      </c>
      <c r="G36" s="6" t="s">
        <v>196</v>
      </c>
      <c r="H36" s="6" t="s">
        <v>46</v>
      </c>
      <c r="I36" s="41" t="s">
        <v>197</v>
      </c>
      <c r="J36" s="6" t="s">
        <v>198</v>
      </c>
      <c r="K36" s="6" t="s">
        <v>188</v>
      </c>
      <c r="L36" s="4"/>
      <c r="M36" s="4"/>
      <c r="N36" s="4"/>
    </row>
    <row r="37" spans="1:14" ht="20.25" customHeight="1" x14ac:dyDescent="0.25">
      <c r="A37" s="4"/>
      <c r="B37" s="18">
        <v>1</v>
      </c>
      <c r="C37" s="55"/>
      <c r="D37" s="18"/>
      <c r="E37" s="43"/>
      <c r="F37" s="18"/>
      <c r="G37" s="21"/>
      <c r="H37" s="56"/>
      <c r="I37" s="57"/>
      <c r="J37" s="18"/>
      <c r="K37" s="18"/>
      <c r="L37" s="4"/>
      <c r="M37" s="4"/>
      <c r="N37" s="4"/>
    </row>
    <row r="38" spans="1:14" ht="20.25" customHeight="1" x14ac:dyDescent="0.25">
      <c r="A38" s="4"/>
      <c r="B38" s="18">
        <v>2</v>
      </c>
      <c r="C38" s="55"/>
      <c r="D38" s="18"/>
      <c r="E38" s="43"/>
      <c r="F38" s="18"/>
      <c r="G38" s="21"/>
      <c r="H38" s="56"/>
      <c r="I38" s="57"/>
      <c r="J38" s="18"/>
      <c r="K38" s="18"/>
      <c r="L38" s="4"/>
      <c r="M38" s="4"/>
      <c r="N38" s="4"/>
    </row>
    <row r="39" spans="1:14" ht="20.25" customHeight="1" x14ac:dyDescent="0.25">
      <c r="A39" s="4"/>
      <c r="B39" s="18">
        <v>3</v>
      </c>
      <c r="C39" s="55"/>
      <c r="D39" s="18"/>
      <c r="E39" s="43"/>
      <c r="F39" s="18"/>
      <c r="G39" s="21"/>
      <c r="H39" s="56"/>
      <c r="I39" s="57"/>
      <c r="J39" s="18"/>
      <c r="K39" s="18"/>
      <c r="L39" s="4"/>
      <c r="M39" s="4"/>
      <c r="N39" s="4"/>
    </row>
    <row r="40" spans="1:14" ht="20.25" customHeight="1" x14ac:dyDescent="0.25">
      <c r="A40" s="4"/>
      <c r="B40" s="18">
        <v>4</v>
      </c>
      <c r="C40" s="55"/>
      <c r="D40" s="18"/>
      <c r="E40" s="43"/>
      <c r="F40" s="18"/>
      <c r="G40" s="21"/>
      <c r="H40" s="56"/>
      <c r="I40" s="57"/>
      <c r="J40" s="18"/>
      <c r="K40" s="18"/>
      <c r="L40" s="4"/>
      <c r="M40" s="4"/>
      <c r="N40" s="4"/>
    </row>
    <row r="41" spans="1:14" ht="20.25" customHeight="1" x14ac:dyDescent="0.25">
      <c r="A41" s="4"/>
      <c r="B41" s="18">
        <v>5</v>
      </c>
      <c r="C41" s="55"/>
      <c r="D41" s="18"/>
      <c r="E41" s="43"/>
      <c r="F41" s="18"/>
      <c r="G41" s="21"/>
      <c r="H41" s="56"/>
      <c r="I41" s="57"/>
      <c r="J41" s="18"/>
      <c r="K41" s="18"/>
      <c r="L41" s="4"/>
      <c r="M41" s="4"/>
      <c r="N41" s="4"/>
    </row>
    <row r="42" spans="1:14" ht="20.25" customHeight="1" x14ac:dyDescent="0.25">
      <c r="A42" s="4"/>
      <c r="B42" s="18">
        <v>6</v>
      </c>
      <c r="C42" s="55"/>
      <c r="D42" s="18"/>
      <c r="E42" s="43"/>
      <c r="F42" s="18"/>
      <c r="G42" s="21"/>
      <c r="H42" s="56"/>
      <c r="I42" s="57"/>
      <c r="J42" s="18"/>
      <c r="K42" s="18"/>
      <c r="L42" s="4"/>
      <c r="M42" s="4"/>
      <c r="N42" s="4"/>
    </row>
    <row r="43" spans="1:14" ht="20.25" customHeight="1" x14ac:dyDescent="0.25">
      <c r="A43" s="4"/>
      <c r="B43" s="18">
        <v>7</v>
      </c>
      <c r="C43" s="55"/>
      <c r="D43" s="18"/>
      <c r="E43" s="43"/>
      <c r="F43" s="18"/>
      <c r="G43" s="21"/>
      <c r="H43" s="56"/>
      <c r="I43" s="57"/>
      <c r="J43" s="18"/>
      <c r="K43" s="18"/>
      <c r="L43" s="4"/>
      <c r="M43" s="4"/>
      <c r="N43" s="4"/>
    </row>
    <row r="44" spans="1:14" ht="20.25" customHeight="1" x14ac:dyDescent="0.25">
      <c r="A44" s="4"/>
      <c r="B44" s="18">
        <v>8</v>
      </c>
      <c r="C44" s="55"/>
      <c r="D44" s="18"/>
      <c r="E44" s="43"/>
      <c r="F44" s="18"/>
      <c r="G44" s="21"/>
      <c r="H44" s="56"/>
      <c r="I44" s="57"/>
      <c r="J44" s="18"/>
      <c r="K44" s="18"/>
      <c r="L44" s="4"/>
      <c r="M44" s="4"/>
      <c r="N44" s="4"/>
    </row>
    <row r="45" spans="1:14" ht="20.25" customHeight="1" x14ac:dyDescent="0.25">
      <c r="A45" s="4"/>
      <c r="B45" s="18">
        <v>9</v>
      </c>
      <c r="C45" s="55"/>
      <c r="D45" s="18"/>
      <c r="E45" s="43"/>
      <c r="F45" s="18"/>
      <c r="G45" s="21"/>
      <c r="H45" s="56"/>
      <c r="I45" s="57"/>
      <c r="J45" s="18"/>
      <c r="K45" s="18"/>
      <c r="L45" s="4"/>
      <c r="M45" s="4"/>
      <c r="N45" s="4"/>
    </row>
    <row r="46" spans="1:14" ht="20.25" customHeight="1" x14ac:dyDescent="0.25">
      <c r="A46" s="4"/>
      <c r="B46" s="18">
        <v>10</v>
      </c>
      <c r="C46" s="55"/>
      <c r="D46" s="18"/>
      <c r="E46" s="18"/>
      <c r="F46" s="43"/>
      <c r="G46" s="16"/>
      <c r="H46" s="58"/>
      <c r="I46" s="57"/>
      <c r="J46" s="18"/>
      <c r="K46" s="18"/>
      <c r="L46" s="4"/>
      <c r="M46" s="4"/>
      <c r="N46" s="4"/>
    </row>
    <row r="47" spans="1:14" ht="20.25" customHeight="1" x14ac:dyDescent="0.25">
      <c r="A47" s="53"/>
      <c r="B47" s="18"/>
      <c r="C47" s="59" t="s">
        <v>63</v>
      </c>
      <c r="D47" s="20"/>
      <c r="E47" s="47"/>
      <c r="F47" s="60">
        <f>SUM(F37:F46)</f>
        <v>0</v>
      </c>
      <c r="G47" s="50"/>
      <c r="H47" s="60">
        <f>SUM(H37:H46)</f>
        <v>0</v>
      </c>
      <c r="I47" s="61"/>
      <c r="J47" s="20">
        <f>SUM(J37:J46)</f>
        <v>0</v>
      </c>
      <c r="K47" s="20"/>
      <c r="L47" s="53"/>
      <c r="M47" s="53"/>
      <c r="N47" s="53"/>
    </row>
    <row r="48" spans="1:14" ht="20.25" customHeight="1" x14ac:dyDescent="0.25">
      <c r="A48" s="4"/>
      <c r="B48" s="3"/>
      <c r="C48" s="4"/>
      <c r="D48" s="62"/>
      <c r="E48" s="52"/>
      <c r="F48" s="4"/>
      <c r="G48" s="4"/>
      <c r="H48" s="52"/>
      <c r="I48" s="4"/>
      <c r="J48" s="4"/>
      <c r="K48" s="4"/>
      <c r="L48" s="4"/>
      <c r="M48" s="4"/>
      <c r="N48" s="4"/>
    </row>
    <row r="49" spans="1:14" ht="20.25" customHeight="1" x14ac:dyDescent="0.25">
      <c r="A49" s="4"/>
      <c r="B49" s="3"/>
      <c r="C49" s="4"/>
      <c r="D49" s="62"/>
      <c r="E49" s="52"/>
      <c r="F49" s="4"/>
      <c r="G49" s="4"/>
      <c r="H49" s="52"/>
      <c r="I49" s="4"/>
      <c r="J49" s="4"/>
      <c r="K49" s="4"/>
      <c r="L49" s="4"/>
      <c r="M49" s="4"/>
      <c r="N49" s="4"/>
    </row>
    <row r="50" spans="1:14" ht="20.25" customHeight="1" x14ac:dyDescent="0.25">
      <c r="A50" s="4"/>
      <c r="B50" s="119" t="s">
        <v>199</v>
      </c>
      <c r="C50" s="86"/>
      <c r="D50" s="86"/>
      <c r="E50" s="86"/>
      <c r="F50" s="86"/>
      <c r="G50" s="86"/>
      <c r="H50" s="86"/>
      <c r="I50" s="86"/>
      <c r="J50" s="86"/>
      <c r="K50" s="86"/>
      <c r="L50" s="4"/>
      <c r="M50" s="4"/>
      <c r="N50" s="4"/>
    </row>
    <row r="51" spans="1:14" ht="30" customHeight="1" x14ac:dyDescent="0.25">
      <c r="A51" s="4"/>
      <c r="B51" s="6" t="s">
        <v>182</v>
      </c>
      <c r="C51" s="41" t="s">
        <v>200</v>
      </c>
      <c r="D51" s="41" t="s">
        <v>184</v>
      </c>
      <c r="E51" s="6" t="s">
        <v>185</v>
      </c>
      <c r="F51" s="6" t="s">
        <v>186</v>
      </c>
      <c r="G51" s="6" t="s">
        <v>46</v>
      </c>
      <c r="H51" s="6" t="s">
        <v>187</v>
      </c>
      <c r="I51" s="6" t="s">
        <v>188</v>
      </c>
      <c r="J51" s="6" t="s">
        <v>189</v>
      </c>
      <c r="K51" s="6"/>
      <c r="L51" s="4"/>
      <c r="M51" s="4"/>
      <c r="N51" s="4"/>
    </row>
    <row r="52" spans="1:14" ht="20.25" customHeight="1" x14ac:dyDescent="0.25">
      <c r="A52" s="4"/>
      <c r="B52" s="18">
        <v>1</v>
      </c>
      <c r="C52" s="42"/>
      <c r="D52" s="43"/>
      <c r="E52" s="18"/>
      <c r="F52" s="18"/>
      <c r="G52" s="44"/>
      <c r="H52" s="45"/>
      <c r="I52" s="16"/>
      <c r="J52" s="21"/>
      <c r="K52" s="18"/>
      <c r="L52" s="4"/>
      <c r="M52" s="4"/>
      <c r="N52" s="4"/>
    </row>
    <row r="53" spans="1:14" ht="20.25" customHeight="1" x14ac:dyDescent="0.25">
      <c r="A53" s="4"/>
      <c r="B53" s="18">
        <v>2</v>
      </c>
      <c r="C53" s="42"/>
      <c r="D53" s="43"/>
      <c r="E53" s="18"/>
      <c r="F53" s="18"/>
      <c r="G53" s="44"/>
      <c r="H53" s="45"/>
      <c r="I53" s="16"/>
      <c r="J53" s="21"/>
      <c r="K53" s="18"/>
      <c r="L53" s="4"/>
      <c r="M53" s="4"/>
      <c r="N53" s="4"/>
    </row>
    <row r="54" spans="1:14" ht="20.25" customHeight="1" x14ac:dyDescent="0.25">
      <c r="A54" s="4"/>
      <c r="B54" s="18">
        <v>3</v>
      </c>
      <c r="C54" s="42"/>
      <c r="D54" s="43"/>
      <c r="E54" s="18"/>
      <c r="F54" s="18"/>
      <c r="G54" s="44"/>
      <c r="H54" s="45"/>
      <c r="I54" s="16"/>
      <c r="J54" s="21"/>
      <c r="K54" s="18"/>
      <c r="L54" s="4"/>
      <c r="M54" s="4"/>
      <c r="N54" s="4"/>
    </row>
    <row r="55" spans="1:14" ht="20.25" customHeight="1" x14ac:dyDescent="0.25">
      <c r="A55" s="4"/>
      <c r="B55" s="18">
        <v>4</v>
      </c>
      <c r="C55" s="42"/>
      <c r="D55" s="43"/>
      <c r="E55" s="18"/>
      <c r="F55" s="18"/>
      <c r="G55" s="44"/>
      <c r="H55" s="45"/>
      <c r="I55" s="16"/>
      <c r="J55" s="21"/>
      <c r="K55" s="18"/>
      <c r="L55" s="4"/>
      <c r="M55" s="4"/>
      <c r="N55" s="4"/>
    </row>
    <row r="56" spans="1:14" ht="20.25" customHeight="1" x14ac:dyDescent="0.25">
      <c r="A56" s="4"/>
      <c r="B56" s="18">
        <v>5</v>
      </c>
      <c r="C56" s="42"/>
      <c r="D56" s="43"/>
      <c r="E56" s="18"/>
      <c r="F56" s="18"/>
      <c r="G56" s="44"/>
      <c r="H56" s="45"/>
      <c r="I56" s="16"/>
      <c r="J56" s="21"/>
      <c r="K56" s="18"/>
      <c r="L56" s="4"/>
      <c r="M56" s="4"/>
      <c r="N56" s="4"/>
    </row>
    <row r="57" spans="1:14" ht="20.25" customHeight="1" x14ac:dyDescent="0.25">
      <c r="A57" s="4"/>
      <c r="B57" s="18">
        <v>6</v>
      </c>
      <c r="C57" s="42"/>
      <c r="D57" s="43"/>
      <c r="E57" s="18"/>
      <c r="F57" s="18"/>
      <c r="G57" s="44"/>
      <c r="H57" s="45"/>
      <c r="I57" s="16"/>
      <c r="J57" s="21"/>
      <c r="K57" s="18"/>
      <c r="L57" s="4"/>
      <c r="M57" s="4"/>
      <c r="N57" s="4"/>
    </row>
    <row r="58" spans="1:14" ht="20.25" customHeight="1" x14ac:dyDescent="0.25">
      <c r="A58" s="4"/>
      <c r="B58" s="18">
        <v>7</v>
      </c>
      <c r="C58" s="42"/>
      <c r="D58" s="43"/>
      <c r="E58" s="18"/>
      <c r="F58" s="18"/>
      <c r="G58" s="44"/>
      <c r="H58" s="45"/>
      <c r="I58" s="16"/>
      <c r="J58" s="21"/>
      <c r="K58" s="18"/>
      <c r="L58" s="4"/>
      <c r="M58" s="4"/>
      <c r="N58" s="4"/>
    </row>
    <row r="59" spans="1:14" ht="20.25" customHeight="1" x14ac:dyDescent="0.25">
      <c r="A59" s="4"/>
      <c r="B59" s="18">
        <v>8</v>
      </c>
      <c r="C59" s="42"/>
      <c r="D59" s="43"/>
      <c r="E59" s="18"/>
      <c r="F59" s="18"/>
      <c r="G59" s="44"/>
      <c r="H59" s="45"/>
      <c r="I59" s="16"/>
      <c r="J59" s="21"/>
      <c r="K59" s="18"/>
      <c r="L59" s="4"/>
      <c r="M59" s="4"/>
      <c r="N59" s="4"/>
    </row>
    <row r="60" spans="1:14" ht="20.25" customHeight="1" x14ac:dyDescent="0.25">
      <c r="A60" s="4"/>
      <c r="B60" s="20"/>
      <c r="C60" s="46" t="s">
        <v>63</v>
      </c>
      <c r="D60" s="47"/>
      <c r="E60" s="20">
        <f t="shared" ref="E60:F60" si="2">SUM(E52:E59)</f>
        <v>0</v>
      </c>
      <c r="F60" s="20">
        <f t="shared" si="2"/>
        <v>0</v>
      </c>
      <c r="G60" s="48"/>
      <c r="H60" s="49"/>
      <c r="I60" s="16"/>
      <c r="J60" s="50"/>
      <c r="K60" s="20">
        <f>SUM(K52:K59)</f>
        <v>0</v>
      </c>
      <c r="L60" s="4"/>
      <c r="M60" s="4"/>
      <c r="N60" s="4"/>
    </row>
    <row r="61" spans="1:14" ht="20.25" customHeight="1" x14ac:dyDescent="0.25">
      <c r="A61" s="4"/>
      <c r="B61" s="3"/>
      <c r="C61" s="51"/>
      <c r="D61" s="52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0.25" customHeight="1" x14ac:dyDescent="0.25">
      <c r="A62" s="4"/>
      <c r="B62" s="3"/>
      <c r="C62" s="51"/>
      <c r="D62" s="52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0.25" customHeight="1" x14ac:dyDescent="0.25">
      <c r="A63" s="4"/>
      <c r="B63" s="3"/>
      <c r="C63" s="51"/>
      <c r="D63" s="52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20.25" customHeight="1" x14ac:dyDescent="0.25">
      <c r="A64" s="4"/>
      <c r="B64" s="110" t="s">
        <v>201</v>
      </c>
      <c r="C64" s="111"/>
      <c r="D64" s="111"/>
      <c r="E64" s="111"/>
      <c r="F64" s="111"/>
      <c r="G64" s="111"/>
      <c r="H64" s="111"/>
      <c r="I64" s="63"/>
      <c r="J64" s="63"/>
      <c r="K64" s="63"/>
      <c r="L64" s="4"/>
      <c r="M64" s="4"/>
      <c r="N64" s="4"/>
    </row>
    <row r="65" spans="1:14" ht="20.25" customHeight="1" x14ac:dyDescent="0.25">
      <c r="A65" s="4"/>
      <c r="B65" s="6" t="s">
        <v>182</v>
      </c>
      <c r="C65" s="6" t="s">
        <v>202</v>
      </c>
      <c r="D65" s="6" t="s">
        <v>203</v>
      </c>
      <c r="E65" s="41" t="s">
        <v>184</v>
      </c>
      <c r="F65" s="6" t="s">
        <v>197</v>
      </c>
      <c r="G65" s="6" t="s">
        <v>196</v>
      </c>
      <c r="H65" s="6" t="s">
        <v>188</v>
      </c>
      <c r="I65" s="4"/>
      <c r="J65" s="4"/>
      <c r="K65" s="4"/>
      <c r="L65" s="4"/>
      <c r="M65" s="4"/>
      <c r="N65" s="4"/>
    </row>
    <row r="66" spans="1:14" ht="20.25" customHeight="1" x14ac:dyDescent="0.25">
      <c r="A66" s="4"/>
      <c r="B66" s="18">
        <v>1</v>
      </c>
      <c r="C66" s="55" t="s">
        <v>204</v>
      </c>
      <c r="D66" s="18">
        <v>35000</v>
      </c>
      <c r="E66" s="43">
        <v>45690</v>
      </c>
      <c r="F66" s="64">
        <v>46239</v>
      </c>
      <c r="G66" s="21">
        <v>7.0999999999999994E-2</v>
      </c>
      <c r="H66" s="18" t="s">
        <v>205</v>
      </c>
      <c r="I66" s="4"/>
      <c r="J66" s="4"/>
      <c r="K66" s="4"/>
      <c r="L66" s="4"/>
      <c r="M66" s="4"/>
      <c r="N66" s="4"/>
    </row>
    <row r="67" spans="1:14" ht="20.25" customHeight="1" x14ac:dyDescent="0.25">
      <c r="A67" s="4"/>
      <c r="B67" s="18">
        <v>2</v>
      </c>
      <c r="C67" s="55"/>
      <c r="D67" s="18"/>
      <c r="E67" s="43"/>
      <c r="F67" s="18"/>
      <c r="G67" s="21"/>
      <c r="H67" s="18"/>
      <c r="I67" s="4"/>
      <c r="J67" s="4"/>
      <c r="K67" s="4"/>
      <c r="L67" s="4"/>
      <c r="M67" s="4"/>
      <c r="N67" s="4"/>
    </row>
    <row r="68" spans="1:14" ht="20.25" customHeight="1" x14ac:dyDescent="0.25">
      <c r="A68" s="4"/>
      <c r="B68" s="18">
        <v>3</v>
      </c>
      <c r="C68" s="55"/>
      <c r="D68" s="18"/>
      <c r="E68" s="43"/>
      <c r="F68" s="18"/>
      <c r="G68" s="21"/>
      <c r="H68" s="18"/>
      <c r="I68" s="4"/>
      <c r="J68" s="4"/>
      <c r="K68" s="4"/>
      <c r="L68" s="4"/>
      <c r="M68" s="4"/>
      <c r="N68" s="4"/>
    </row>
    <row r="69" spans="1:14" ht="20.25" customHeight="1" x14ac:dyDescent="0.25">
      <c r="A69" s="4"/>
      <c r="B69" s="18">
        <v>4</v>
      </c>
      <c r="C69" s="55"/>
      <c r="D69" s="18"/>
      <c r="E69" s="43"/>
      <c r="F69" s="18"/>
      <c r="G69" s="21"/>
      <c r="H69" s="18"/>
      <c r="I69" s="4"/>
      <c r="J69" s="4"/>
      <c r="K69" s="4"/>
      <c r="L69" s="4"/>
      <c r="M69" s="4"/>
      <c r="N69" s="4"/>
    </row>
    <row r="70" spans="1:14" ht="20.25" customHeight="1" x14ac:dyDescent="0.25">
      <c r="A70" s="4"/>
      <c r="B70" s="18">
        <v>5</v>
      </c>
      <c r="C70" s="55"/>
      <c r="D70" s="18"/>
      <c r="E70" s="43"/>
      <c r="F70" s="18"/>
      <c r="G70" s="21"/>
      <c r="H70" s="18"/>
      <c r="I70" s="4"/>
      <c r="J70" s="4"/>
      <c r="K70" s="4"/>
      <c r="L70" s="4"/>
      <c r="M70" s="4"/>
      <c r="N70" s="4"/>
    </row>
    <row r="71" spans="1:14" ht="20.25" customHeight="1" x14ac:dyDescent="0.25">
      <c r="A71" s="4"/>
      <c r="B71" s="18">
        <v>6</v>
      </c>
      <c r="C71" s="55"/>
      <c r="D71" s="18"/>
      <c r="E71" s="43"/>
      <c r="F71" s="18"/>
      <c r="G71" s="21"/>
      <c r="H71" s="18"/>
      <c r="I71" s="4"/>
      <c r="J71" s="4"/>
      <c r="K71" s="4"/>
      <c r="L71" s="4"/>
      <c r="M71" s="4"/>
      <c r="N71" s="4"/>
    </row>
    <row r="72" spans="1:14" ht="20.25" customHeight="1" x14ac:dyDescent="0.25">
      <c r="A72" s="4"/>
      <c r="B72" s="18">
        <v>7</v>
      </c>
      <c r="C72" s="55"/>
      <c r="D72" s="18"/>
      <c r="E72" s="43"/>
      <c r="F72" s="18"/>
      <c r="G72" s="21"/>
      <c r="H72" s="18"/>
      <c r="I72" s="4"/>
      <c r="J72" s="4"/>
      <c r="K72" s="4"/>
      <c r="L72" s="4"/>
      <c r="M72" s="4"/>
      <c r="N72" s="4"/>
    </row>
    <row r="73" spans="1:14" ht="20.25" customHeight="1" x14ac:dyDescent="0.25">
      <c r="A73" s="4"/>
      <c r="B73" s="18">
        <v>8</v>
      </c>
      <c r="C73" s="55"/>
      <c r="D73" s="18"/>
      <c r="E73" s="43"/>
      <c r="F73" s="18"/>
      <c r="G73" s="21"/>
      <c r="H73" s="18"/>
      <c r="I73" s="4"/>
      <c r="J73" s="4"/>
      <c r="K73" s="4"/>
      <c r="L73" s="4"/>
      <c r="M73" s="4"/>
      <c r="N73" s="4"/>
    </row>
    <row r="74" spans="1:14" ht="20.25" customHeight="1" x14ac:dyDescent="0.25">
      <c r="A74" s="4"/>
      <c r="B74" s="18">
        <v>9</v>
      </c>
      <c r="C74" s="55"/>
      <c r="D74" s="18"/>
      <c r="E74" s="43"/>
      <c r="F74" s="18"/>
      <c r="G74" s="21"/>
      <c r="H74" s="18"/>
      <c r="I74" s="4"/>
      <c r="J74" s="4"/>
      <c r="K74" s="4"/>
      <c r="L74" s="4"/>
      <c r="M74" s="4"/>
      <c r="N74" s="4"/>
    </row>
    <row r="75" spans="1:14" ht="20.25" customHeight="1" x14ac:dyDescent="0.25">
      <c r="A75" s="4"/>
      <c r="B75" s="18">
        <v>10</v>
      </c>
      <c r="C75" s="55"/>
      <c r="D75" s="18"/>
      <c r="E75" s="18"/>
      <c r="F75" s="43"/>
      <c r="G75" s="16"/>
      <c r="H75" s="18"/>
      <c r="I75" s="4"/>
      <c r="J75" s="4"/>
      <c r="K75" s="4"/>
      <c r="L75" s="4"/>
      <c r="M75" s="4"/>
      <c r="N75" s="4"/>
    </row>
    <row r="76" spans="1:14" ht="20.25" customHeight="1" x14ac:dyDescent="0.25">
      <c r="A76" s="4"/>
      <c r="B76" s="18"/>
      <c r="C76" s="59" t="s">
        <v>63</v>
      </c>
      <c r="D76" s="20">
        <f>+SUM(D66:D75)</f>
        <v>35000</v>
      </c>
      <c r="E76" s="47"/>
      <c r="F76" s="60"/>
      <c r="G76" s="50"/>
      <c r="H76" s="20"/>
      <c r="I76" s="4"/>
      <c r="J76" s="4"/>
      <c r="K76" s="4"/>
      <c r="L76" s="4"/>
      <c r="M76" s="4"/>
      <c r="N76" s="4"/>
    </row>
    <row r="77" spans="1:14" ht="20.25" customHeight="1" x14ac:dyDescent="0.25">
      <c r="A77" s="4"/>
      <c r="B77" s="3"/>
      <c r="C77" s="51"/>
      <c r="D77" s="52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20.25" customHeight="1" x14ac:dyDescent="0.25">
      <c r="A78" s="4"/>
      <c r="B78" s="3"/>
      <c r="C78" s="51"/>
      <c r="D78" s="52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20.25" customHeight="1" x14ac:dyDescent="0.25">
      <c r="A79" s="4"/>
      <c r="B79" s="3"/>
      <c r="C79" s="51"/>
      <c r="D79" s="52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20.25" customHeight="1" x14ac:dyDescent="0.25">
      <c r="A80" s="4"/>
      <c r="B80" s="3"/>
      <c r="C80" s="51"/>
      <c r="D80" s="52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20.25" customHeight="1" x14ac:dyDescent="0.25">
      <c r="A81" s="4"/>
      <c r="B81" s="3"/>
      <c r="C81" s="51"/>
      <c r="D81" s="52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20.25" customHeight="1" x14ac:dyDescent="0.25">
      <c r="A82" s="4"/>
      <c r="B82" s="3"/>
      <c r="C82" s="51"/>
      <c r="D82" s="52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20.25" customHeight="1" x14ac:dyDescent="0.25">
      <c r="A83" s="4"/>
      <c r="B83" s="3"/>
      <c r="C83" s="51"/>
      <c r="D83" s="52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20.25" customHeight="1" x14ac:dyDescent="0.25">
      <c r="A84" s="4"/>
      <c r="B84" s="3"/>
      <c r="C84" s="51"/>
      <c r="D84" s="52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20.25" customHeight="1" x14ac:dyDescent="0.25">
      <c r="A85" s="4"/>
      <c r="B85" s="3"/>
      <c r="C85" s="51"/>
      <c r="D85" s="52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20.25" customHeight="1" x14ac:dyDescent="0.25">
      <c r="A86" s="4"/>
      <c r="B86" s="3"/>
      <c r="C86" s="51"/>
      <c r="D86" s="52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20.25" customHeight="1" x14ac:dyDescent="0.25">
      <c r="A87" s="4"/>
      <c r="B87" s="3"/>
      <c r="C87" s="51"/>
      <c r="D87" s="52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20.25" customHeight="1" x14ac:dyDescent="0.25">
      <c r="A88" s="4"/>
      <c r="B88" s="3"/>
      <c r="C88" s="51"/>
      <c r="D88" s="52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20.25" customHeight="1" x14ac:dyDescent="0.25">
      <c r="A89" s="4"/>
      <c r="B89" s="3"/>
      <c r="C89" s="51"/>
      <c r="D89" s="52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20.25" customHeight="1" x14ac:dyDescent="0.25">
      <c r="A90" s="4"/>
      <c r="B90" s="3"/>
      <c r="C90" s="51"/>
      <c r="D90" s="52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20.25" customHeight="1" x14ac:dyDescent="0.25">
      <c r="A91" s="4"/>
      <c r="B91" s="3"/>
      <c r="C91" s="51"/>
      <c r="D91" s="52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20.25" customHeight="1" x14ac:dyDescent="0.25">
      <c r="A92" s="4"/>
      <c r="B92" s="3"/>
      <c r="C92" s="51"/>
      <c r="D92" s="52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20.25" customHeight="1" x14ac:dyDescent="0.25">
      <c r="A93" s="4"/>
      <c r="B93" s="3"/>
      <c r="C93" s="51"/>
      <c r="D93" s="52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20.25" customHeight="1" x14ac:dyDescent="0.25">
      <c r="A94" s="4"/>
      <c r="B94" s="3"/>
      <c r="C94" s="51"/>
      <c r="D94" s="52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20.25" customHeight="1" x14ac:dyDescent="0.25">
      <c r="A95" s="4"/>
      <c r="B95" s="3"/>
      <c r="C95" s="51"/>
      <c r="D95" s="52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20.25" customHeight="1" x14ac:dyDescent="0.25">
      <c r="A96" s="4"/>
      <c r="B96" s="3"/>
      <c r="C96" s="51"/>
      <c r="D96" s="52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20.25" customHeight="1" x14ac:dyDescent="0.25">
      <c r="A97" s="4"/>
      <c r="B97" s="3"/>
      <c r="C97" s="51"/>
      <c r="D97" s="52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20.25" customHeight="1" x14ac:dyDescent="0.25">
      <c r="A98" s="4"/>
      <c r="B98" s="3"/>
      <c r="C98" s="51"/>
      <c r="D98" s="52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20.25" customHeight="1" x14ac:dyDescent="0.25">
      <c r="A99" s="4"/>
      <c r="B99" s="3"/>
      <c r="C99" s="51"/>
      <c r="D99" s="52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 ht="20.25" customHeight="1" x14ac:dyDescent="0.25">
      <c r="A100" s="4"/>
      <c r="B100" s="3"/>
      <c r="C100" s="51"/>
      <c r="D100" s="52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5.75" customHeight="1" x14ac:dyDescent="0.25"/>
    <row r="102" spans="1:14" ht="15.75" customHeight="1" x14ac:dyDescent="0.25"/>
    <row r="103" spans="1:14" ht="15.75" customHeight="1" x14ac:dyDescent="0.25"/>
    <row r="104" spans="1:14" ht="15.75" customHeight="1" x14ac:dyDescent="0.25"/>
    <row r="105" spans="1:14" ht="15.75" customHeight="1" x14ac:dyDescent="0.25"/>
    <row r="106" spans="1:14" ht="15.75" customHeight="1" x14ac:dyDescent="0.25"/>
    <row r="107" spans="1:14" ht="15.75" customHeight="1" x14ac:dyDescent="0.25"/>
    <row r="108" spans="1:14" ht="15.75" customHeight="1" x14ac:dyDescent="0.25"/>
    <row r="109" spans="1:14" ht="15.75" customHeight="1" x14ac:dyDescent="0.25"/>
    <row r="110" spans="1:14" ht="15.75" customHeight="1" x14ac:dyDescent="0.25"/>
    <row r="111" spans="1:14" ht="15.75" customHeight="1" x14ac:dyDescent="0.25"/>
    <row r="112" spans="1:14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64:H64"/>
    <mergeCell ref="B1:K2"/>
    <mergeCell ref="B3:K3"/>
    <mergeCell ref="B15:G15"/>
    <mergeCell ref="B35:K35"/>
    <mergeCell ref="B50:K50"/>
  </mergeCells>
  <hyperlinks>
    <hyperlink ref="B3" r:id="rId1" xr:uid="{00000000-0004-0000-0200-000000000000}"/>
  </hyperlinks>
  <pageMargins left="0.70866141732283472" right="0.70866141732283472" top="0.74803149606299213" bottom="0.74803149606299213" header="0" footer="0"/>
  <pageSetup orientation="landscape"/>
  <headerFooter>
    <oddHeader>&amp;LFinancial Plan of &amp;F and Family</oddHeader>
    <oddFooter>&amp;LPrepared by Sadique Neelgund, CFPCM&amp;RPage &amp;P of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showGridLines="0" workbookViewId="0">
      <selection activeCell="F34" sqref="F34"/>
    </sheetView>
  </sheetViews>
  <sheetFormatPr defaultColWidth="12.59765625" defaultRowHeight="15" customHeight="1" x14ac:dyDescent="0.25"/>
  <cols>
    <col min="1" max="1" width="2.69921875" customWidth="1"/>
    <col min="2" max="2" width="4.3984375" customWidth="1"/>
    <col min="3" max="3" width="21.19921875" customWidth="1"/>
    <col min="4" max="4" width="14.69921875" customWidth="1"/>
    <col min="5" max="5" width="9.8984375" customWidth="1"/>
    <col min="6" max="6" width="12" customWidth="1"/>
    <col min="7" max="7" width="10.19921875" customWidth="1"/>
    <col min="8" max="8" width="14.8984375" customWidth="1"/>
    <col min="9" max="9" width="8.09765625" customWidth="1"/>
    <col min="10" max="10" width="7.69921875" customWidth="1"/>
    <col min="11" max="11" width="7.8984375" customWidth="1"/>
    <col min="12" max="12" width="9.09765625" customWidth="1"/>
    <col min="13" max="13" width="8.3984375" customWidth="1"/>
    <col min="14" max="26" width="14.3984375" customWidth="1"/>
  </cols>
  <sheetData>
    <row r="1" spans="1:13" ht="39" customHeight="1" x14ac:dyDescent="0.25">
      <c r="A1" s="4"/>
      <c r="B1" s="119" t="s">
        <v>206</v>
      </c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ht="27" customHeight="1" x14ac:dyDescent="0.25">
      <c r="A2" s="4"/>
      <c r="B2" s="65" t="s">
        <v>182</v>
      </c>
      <c r="C2" s="65" t="s">
        <v>207</v>
      </c>
      <c r="D2" s="65" t="s">
        <v>208</v>
      </c>
      <c r="E2" s="65" t="s">
        <v>209</v>
      </c>
      <c r="F2" s="66" t="s">
        <v>210</v>
      </c>
      <c r="G2" s="65" t="s">
        <v>211</v>
      </c>
      <c r="H2" s="66" t="s">
        <v>197</v>
      </c>
      <c r="I2" s="65" t="s">
        <v>212</v>
      </c>
      <c r="J2" s="65" t="s">
        <v>213</v>
      </c>
      <c r="K2" s="65" t="s">
        <v>198</v>
      </c>
      <c r="L2" s="65" t="s">
        <v>214</v>
      </c>
      <c r="M2" s="65" t="s">
        <v>215</v>
      </c>
    </row>
    <row r="3" spans="1:13" ht="20.25" customHeight="1" x14ac:dyDescent="0.25">
      <c r="A3" s="4"/>
      <c r="B3" s="121" t="str">
        <f>Data!C6</f>
        <v xml:space="preserve">Partha Lalit 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88"/>
    </row>
    <row r="4" spans="1:13" ht="20.25" customHeight="1" x14ac:dyDescent="0.25">
      <c r="A4" s="4"/>
      <c r="B4" s="67">
        <v>1</v>
      </c>
      <c r="C4" s="42"/>
      <c r="D4" s="42"/>
      <c r="E4" s="67"/>
      <c r="F4" s="67"/>
      <c r="G4" s="68"/>
      <c r="H4" s="68"/>
      <c r="I4" s="67"/>
      <c r="J4" s="67"/>
      <c r="K4" s="67"/>
      <c r="L4" s="45"/>
      <c r="M4" s="69"/>
    </row>
    <row r="5" spans="1:13" ht="20.25" customHeight="1" x14ac:dyDescent="0.25">
      <c r="A5" s="4"/>
      <c r="B5" s="67">
        <v>2</v>
      </c>
      <c r="C5" s="42"/>
      <c r="D5" s="42"/>
      <c r="E5" s="67"/>
      <c r="F5" s="67"/>
      <c r="G5" s="68"/>
      <c r="H5" s="68"/>
      <c r="I5" s="67"/>
      <c r="J5" s="67"/>
      <c r="K5" s="67"/>
      <c r="L5" s="45"/>
      <c r="M5" s="69"/>
    </row>
    <row r="6" spans="1:13" ht="20.25" customHeight="1" x14ac:dyDescent="0.25">
      <c r="A6" s="4"/>
      <c r="B6" s="67">
        <v>3</v>
      </c>
      <c r="C6" s="42"/>
      <c r="D6" s="42"/>
      <c r="E6" s="67"/>
      <c r="F6" s="67"/>
      <c r="G6" s="68"/>
      <c r="H6" s="68"/>
      <c r="I6" s="67"/>
      <c r="J6" s="67"/>
      <c r="K6" s="67"/>
      <c r="L6" s="45"/>
      <c r="M6" s="69"/>
    </row>
    <row r="7" spans="1:13" ht="20.25" customHeight="1" x14ac:dyDescent="0.25">
      <c r="A7" s="4"/>
      <c r="B7" s="67">
        <v>4</v>
      </c>
      <c r="C7" s="42"/>
      <c r="D7" s="42"/>
      <c r="E7" s="67"/>
      <c r="F7" s="67"/>
      <c r="G7" s="68"/>
      <c r="H7" s="68"/>
      <c r="I7" s="67"/>
      <c r="J7" s="67"/>
      <c r="K7" s="67"/>
      <c r="L7" s="45"/>
      <c r="M7" s="69"/>
    </row>
    <row r="8" spans="1:13" ht="20.25" customHeight="1" x14ac:dyDescent="0.25">
      <c r="A8" s="4"/>
      <c r="B8" s="70"/>
      <c r="C8" s="71" t="s">
        <v>63</v>
      </c>
      <c r="D8" s="71"/>
      <c r="E8" s="70">
        <f>SUM(E4:E7)</f>
        <v>0</v>
      </c>
      <c r="F8" s="67"/>
      <c r="G8" s="70"/>
      <c r="H8" s="70"/>
      <c r="I8" s="70">
        <f t="shared" ref="I8:K8" si="0">SUM(I4:I7)</f>
        <v>0</v>
      </c>
      <c r="J8" s="70">
        <f t="shared" si="0"/>
        <v>0</v>
      </c>
      <c r="K8" s="70">
        <f t="shared" si="0"/>
        <v>0</v>
      </c>
      <c r="L8" s="70"/>
      <c r="M8" s="70"/>
    </row>
    <row r="9" spans="1:13" ht="20.25" customHeight="1" x14ac:dyDescent="0.25">
      <c r="A9" s="4"/>
      <c r="B9" s="121" t="str">
        <f>Data!E6</f>
        <v>NA</v>
      </c>
      <c r="C9" s="94"/>
      <c r="D9" s="94"/>
      <c r="E9" s="94"/>
      <c r="F9" s="94"/>
      <c r="G9" s="94"/>
      <c r="H9" s="94"/>
      <c r="I9" s="94"/>
      <c r="J9" s="94"/>
      <c r="K9" s="94"/>
      <c r="L9" s="94"/>
      <c r="M9" s="88"/>
    </row>
    <row r="10" spans="1:13" ht="20.25" customHeight="1" x14ac:dyDescent="0.25">
      <c r="A10" s="4"/>
      <c r="B10" s="67">
        <v>1</v>
      </c>
      <c r="C10" s="42"/>
      <c r="D10" s="42"/>
      <c r="E10" s="67"/>
      <c r="F10" s="67"/>
      <c r="G10" s="68"/>
      <c r="H10" s="68"/>
      <c r="I10" s="67"/>
      <c r="J10" s="67"/>
      <c r="K10" s="67"/>
      <c r="L10" s="45"/>
      <c r="M10" s="69"/>
    </row>
    <row r="11" spans="1:13" ht="20.25" customHeight="1" x14ac:dyDescent="0.25">
      <c r="A11" s="4"/>
      <c r="B11" s="67">
        <v>2</v>
      </c>
      <c r="C11" s="42"/>
      <c r="D11" s="42"/>
      <c r="E11" s="67"/>
      <c r="F11" s="67"/>
      <c r="G11" s="68"/>
      <c r="H11" s="68"/>
      <c r="I11" s="67"/>
      <c r="J11" s="67"/>
      <c r="K11" s="67"/>
      <c r="L11" s="45"/>
      <c r="M11" s="69"/>
    </row>
    <row r="12" spans="1:13" ht="20.25" customHeight="1" x14ac:dyDescent="0.25">
      <c r="A12" s="4"/>
      <c r="B12" s="70"/>
      <c r="C12" s="71"/>
      <c r="D12" s="71"/>
      <c r="E12" s="70">
        <f>SUM(E10:E11)</f>
        <v>0</v>
      </c>
      <c r="F12" s="70"/>
      <c r="G12" s="70"/>
      <c r="H12" s="70"/>
      <c r="I12" s="70">
        <f t="shared" ref="I12:K12" si="1">SUM(I10:I11)</f>
        <v>0</v>
      </c>
      <c r="J12" s="70">
        <f t="shared" si="1"/>
        <v>0</v>
      </c>
      <c r="K12" s="70">
        <f t="shared" si="1"/>
        <v>0</v>
      </c>
      <c r="L12" s="70"/>
      <c r="M12" s="70"/>
    </row>
    <row r="13" spans="1:13" ht="20.25" customHeight="1" x14ac:dyDescent="0.25">
      <c r="A13" s="4"/>
      <c r="B13" s="122">
        <f>Data!C21</f>
        <v>0</v>
      </c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88"/>
    </row>
    <row r="14" spans="1:13" ht="20.25" customHeight="1" x14ac:dyDescent="0.25">
      <c r="A14" s="4"/>
      <c r="B14" s="67">
        <v>1</v>
      </c>
      <c r="C14" s="42"/>
      <c r="D14" s="42"/>
      <c r="E14" s="67"/>
      <c r="F14" s="67"/>
      <c r="G14" s="68"/>
      <c r="H14" s="68"/>
      <c r="I14" s="67"/>
      <c r="J14" s="67"/>
      <c r="K14" s="67"/>
      <c r="L14" s="45"/>
      <c r="M14" s="69"/>
    </row>
    <row r="15" spans="1:13" ht="20.25" customHeight="1" x14ac:dyDescent="0.25">
      <c r="A15" s="4"/>
      <c r="B15" s="67">
        <v>2</v>
      </c>
      <c r="C15" s="42"/>
      <c r="D15" s="42"/>
      <c r="E15" s="67"/>
      <c r="F15" s="67"/>
      <c r="G15" s="68"/>
      <c r="H15" s="68"/>
      <c r="I15" s="67"/>
      <c r="J15" s="67"/>
      <c r="K15" s="67"/>
      <c r="L15" s="45"/>
      <c r="M15" s="69"/>
    </row>
    <row r="16" spans="1:13" ht="20.25" customHeight="1" x14ac:dyDescent="0.25">
      <c r="A16" s="4"/>
      <c r="B16" s="70"/>
      <c r="C16" s="71"/>
      <c r="D16" s="71"/>
      <c r="E16" s="70">
        <f>SUM(E14:E15)</f>
        <v>0</v>
      </c>
      <c r="F16" s="70"/>
      <c r="G16" s="70"/>
      <c r="H16" s="70"/>
      <c r="I16" s="70">
        <f t="shared" ref="I16:K16" si="2">SUM(I14:I15)</f>
        <v>0</v>
      </c>
      <c r="J16" s="70">
        <f t="shared" si="2"/>
        <v>0</v>
      </c>
      <c r="K16" s="70">
        <f t="shared" si="2"/>
        <v>0</v>
      </c>
      <c r="L16" s="70"/>
      <c r="M16" s="70"/>
    </row>
    <row r="17" spans="1:13" ht="20.25" customHeight="1" x14ac:dyDescent="0.25">
      <c r="A17" s="4"/>
      <c r="B17" s="122">
        <f>Data!D21</f>
        <v>0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88"/>
    </row>
    <row r="18" spans="1:13" ht="20.25" customHeight="1" x14ac:dyDescent="0.25">
      <c r="A18" s="4"/>
      <c r="B18" s="67">
        <v>1</v>
      </c>
      <c r="C18" s="72"/>
      <c r="D18" s="42"/>
      <c r="E18" s="67"/>
      <c r="F18" s="67"/>
      <c r="G18" s="68"/>
      <c r="H18" s="68"/>
      <c r="I18" s="67"/>
      <c r="J18" s="67"/>
      <c r="K18" s="67"/>
      <c r="L18" s="45"/>
      <c r="M18" s="69"/>
    </row>
    <row r="19" spans="1:13" ht="20.25" customHeight="1" x14ac:dyDescent="0.25">
      <c r="A19" s="4"/>
      <c r="B19" s="67">
        <v>2</v>
      </c>
      <c r="C19" s="42"/>
      <c r="D19" s="42"/>
      <c r="E19" s="67"/>
      <c r="F19" s="67"/>
      <c r="G19" s="68"/>
      <c r="H19" s="68"/>
      <c r="I19" s="67"/>
      <c r="J19" s="67"/>
      <c r="K19" s="67"/>
      <c r="L19" s="45"/>
      <c r="M19" s="69"/>
    </row>
    <row r="20" spans="1:13" ht="20.25" customHeight="1" x14ac:dyDescent="0.25">
      <c r="A20" s="4"/>
      <c r="B20" s="70"/>
      <c r="C20" s="71"/>
      <c r="D20" s="71"/>
      <c r="E20" s="70">
        <f>SUM(E18:E19)</f>
        <v>0</v>
      </c>
      <c r="F20" s="70"/>
      <c r="G20" s="70"/>
      <c r="H20" s="70"/>
      <c r="I20" s="70">
        <f t="shared" ref="I20:K20" si="3">SUM(I18:I19)</f>
        <v>0</v>
      </c>
      <c r="J20" s="70">
        <f t="shared" si="3"/>
        <v>0</v>
      </c>
      <c r="K20" s="70">
        <f t="shared" si="3"/>
        <v>0</v>
      </c>
      <c r="L20" s="70"/>
      <c r="M20" s="70"/>
    </row>
    <row r="21" spans="1:13" ht="20.25" customHeight="1" x14ac:dyDescent="0.25">
      <c r="A21" s="4"/>
      <c r="B21" s="3"/>
      <c r="C21" s="4"/>
      <c r="D21" s="4"/>
      <c r="E21" s="62"/>
      <c r="F21" s="52"/>
      <c r="G21" s="4"/>
      <c r="H21" s="52"/>
      <c r="I21" s="4"/>
      <c r="J21" s="4"/>
      <c r="K21" s="4"/>
      <c r="L21" s="4"/>
      <c r="M21" s="4"/>
    </row>
    <row r="22" spans="1:13" ht="20.25" customHeight="1" x14ac:dyDescent="0.25">
      <c r="A22" s="4"/>
      <c r="B22" s="3"/>
      <c r="C22" s="4"/>
      <c r="D22" s="4"/>
      <c r="E22" s="62"/>
      <c r="F22" s="52"/>
      <c r="G22" s="4"/>
      <c r="H22" s="52"/>
      <c r="I22" s="4"/>
      <c r="J22" s="4"/>
      <c r="K22" s="4"/>
      <c r="L22" s="4"/>
      <c r="M22" s="4"/>
    </row>
    <row r="23" spans="1:13" ht="27.75" customHeight="1" x14ac:dyDescent="0.25">
      <c r="A23" s="4"/>
      <c r="B23" s="120" t="s">
        <v>216</v>
      </c>
      <c r="C23" s="86"/>
      <c r="D23" s="86"/>
      <c r="E23" s="86"/>
      <c r="F23" s="86"/>
      <c r="G23" s="86"/>
      <c r="H23" s="86"/>
      <c r="I23" s="4"/>
      <c r="J23" s="4"/>
      <c r="K23" s="4"/>
      <c r="L23" s="4"/>
      <c r="M23" s="4"/>
    </row>
    <row r="24" spans="1:13" ht="27.75" customHeight="1" x14ac:dyDescent="0.25">
      <c r="A24" s="4"/>
      <c r="B24" s="6" t="s">
        <v>182</v>
      </c>
      <c r="C24" s="6" t="s">
        <v>208</v>
      </c>
      <c r="D24" s="6" t="s">
        <v>207</v>
      </c>
      <c r="E24" s="6" t="s">
        <v>217</v>
      </c>
      <c r="F24" s="6" t="s">
        <v>218</v>
      </c>
      <c r="G24" s="6" t="s">
        <v>219</v>
      </c>
      <c r="H24" s="6" t="s">
        <v>220</v>
      </c>
      <c r="I24" s="4"/>
      <c r="J24" s="4"/>
      <c r="K24" s="4"/>
      <c r="L24" s="4"/>
      <c r="M24" s="4"/>
    </row>
    <row r="25" spans="1:13" ht="20.25" customHeight="1" x14ac:dyDescent="0.25">
      <c r="A25" s="4"/>
      <c r="B25" s="18">
        <v>1</v>
      </c>
      <c r="C25" s="73" t="s">
        <v>221</v>
      </c>
      <c r="D25" s="55"/>
      <c r="E25" s="18"/>
      <c r="F25" s="18"/>
      <c r="G25" s="18"/>
      <c r="H25" s="16"/>
      <c r="I25" s="4"/>
      <c r="J25" s="4"/>
      <c r="K25" s="4"/>
      <c r="L25" s="4"/>
      <c r="M25" s="4"/>
    </row>
    <row r="26" spans="1:13" ht="20.25" customHeight="1" x14ac:dyDescent="0.25">
      <c r="A26" s="4"/>
      <c r="B26" s="18">
        <f t="shared" ref="B26:B27" si="4">B25+1</f>
        <v>2</v>
      </c>
      <c r="C26" s="73" t="s">
        <v>222</v>
      </c>
      <c r="D26" s="55"/>
      <c r="E26" s="18"/>
      <c r="F26" s="18"/>
      <c r="G26" s="18"/>
      <c r="H26" s="16"/>
      <c r="I26" s="4"/>
      <c r="J26" s="4"/>
      <c r="K26" s="4"/>
      <c r="L26" s="4"/>
      <c r="M26" s="4"/>
    </row>
    <row r="27" spans="1:13" ht="20.25" customHeight="1" x14ac:dyDescent="0.25">
      <c r="A27" s="4"/>
      <c r="B27" s="18">
        <f t="shared" si="4"/>
        <v>3</v>
      </c>
      <c r="C27" s="73" t="s">
        <v>223</v>
      </c>
      <c r="D27" s="55"/>
      <c r="E27" s="18"/>
      <c r="F27" s="18"/>
      <c r="G27" s="18"/>
      <c r="H27" s="16"/>
      <c r="I27" s="4"/>
      <c r="J27" s="4"/>
      <c r="K27" s="4"/>
      <c r="L27" s="4"/>
      <c r="M27" s="4"/>
    </row>
    <row r="28" spans="1:13" ht="20.25" customHeight="1" x14ac:dyDescent="0.25">
      <c r="A28" s="4"/>
      <c r="B28" s="18">
        <v>5</v>
      </c>
      <c r="C28" s="73" t="s">
        <v>224</v>
      </c>
      <c r="D28" s="55"/>
      <c r="E28" s="18"/>
      <c r="F28" s="18"/>
      <c r="G28" s="18"/>
      <c r="H28" s="16"/>
      <c r="I28" s="4"/>
      <c r="J28" s="4"/>
      <c r="K28" s="4"/>
      <c r="L28" s="4"/>
      <c r="M28" s="4"/>
    </row>
    <row r="29" spans="1:13" ht="20.25" customHeight="1" x14ac:dyDescent="0.25">
      <c r="A29" s="4"/>
      <c r="B29" s="18">
        <v>6</v>
      </c>
      <c r="C29" s="73" t="s">
        <v>225</v>
      </c>
      <c r="D29" s="55"/>
      <c r="E29" s="18"/>
      <c r="F29" s="18"/>
      <c r="G29" s="18"/>
      <c r="H29" s="16"/>
      <c r="I29" s="4"/>
      <c r="J29" s="4"/>
      <c r="K29" s="4"/>
      <c r="L29" s="4"/>
      <c r="M29" s="4"/>
    </row>
    <row r="30" spans="1:13" ht="20.25" customHeight="1" x14ac:dyDescent="0.25">
      <c r="A30" s="4"/>
      <c r="B30" s="18"/>
      <c r="C30" s="20" t="s">
        <v>226</v>
      </c>
      <c r="D30" s="55"/>
      <c r="E30" s="18"/>
      <c r="F30" s="20">
        <f>SUM(F25:F29)</f>
        <v>0</v>
      </c>
      <c r="G30" s="18"/>
      <c r="H30" s="16"/>
      <c r="I30" s="4"/>
      <c r="J30" s="4"/>
      <c r="K30" s="4"/>
      <c r="L30" s="4"/>
      <c r="M30" s="4"/>
    </row>
    <row r="31" spans="1:13" ht="27.75" customHeight="1" x14ac:dyDescent="0.25">
      <c r="A31" s="4"/>
      <c r="B31" s="3"/>
      <c r="C31" s="3"/>
      <c r="D31" s="4"/>
      <c r="E31" s="62"/>
      <c r="F31" s="4"/>
      <c r="G31" s="4"/>
      <c r="H31" s="4"/>
      <c r="I31" s="4"/>
      <c r="J31" s="4"/>
      <c r="K31" s="4"/>
      <c r="L31" s="4"/>
      <c r="M31" s="4"/>
    </row>
    <row r="32" spans="1:13" ht="20.25" customHeight="1" x14ac:dyDescent="0.25">
      <c r="A32" s="4"/>
      <c r="B32" s="3"/>
      <c r="C32" s="4"/>
      <c r="D32" s="4"/>
      <c r="E32" s="62"/>
      <c r="F32" s="52"/>
      <c r="G32" s="4"/>
      <c r="H32" s="52"/>
      <c r="I32" s="4"/>
      <c r="J32" s="4"/>
      <c r="K32" s="4"/>
      <c r="L32" s="4"/>
      <c r="M32" s="4"/>
    </row>
    <row r="33" spans="1:13" ht="20.25" customHeight="1" x14ac:dyDescent="0.25">
      <c r="A33" s="4"/>
      <c r="B33" s="3"/>
      <c r="C33" s="4"/>
      <c r="D33" s="4"/>
      <c r="E33" s="62"/>
      <c r="F33" s="52"/>
      <c r="G33" s="4"/>
      <c r="H33" s="52"/>
      <c r="I33" s="4"/>
      <c r="J33" s="4"/>
      <c r="K33" s="4"/>
      <c r="L33" s="4"/>
      <c r="M33" s="4"/>
    </row>
    <row r="34" spans="1:13" ht="20.25" customHeight="1" x14ac:dyDescent="0.25">
      <c r="A34" s="4"/>
      <c r="B34" s="3"/>
      <c r="C34" s="4"/>
      <c r="D34" s="4"/>
      <c r="E34" s="62"/>
      <c r="F34" s="52"/>
      <c r="G34" s="4"/>
      <c r="H34" s="52"/>
      <c r="I34" s="4"/>
      <c r="J34" s="4"/>
      <c r="K34" s="4"/>
      <c r="L34" s="4"/>
      <c r="M34" s="4"/>
    </row>
    <row r="35" spans="1:13" ht="20.25" customHeight="1" x14ac:dyDescent="0.25">
      <c r="A35" s="4"/>
      <c r="B35" s="3"/>
      <c r="C35" s="4"/>
      <c r="D35" s="4"/>
      <c r="E35" s="62"/>
      <c r="F35" s="52"/>
      <c r="G35" s="4"/>
      <c r="H35" s="52"/>
      <c r="I35" s="4"/>
      <c r="J35" s="4"/>
      <c r="K35" s="4"/>
      <c r="L35" s="4"/>
      <c r="M35" s="4"/>
    </row>
    <row r="36" spans="1:13" ht="20.25" customHeight="1" x14ac:dyDescent="0.25">
      <c r="A36" s="4"/>
      <c r="B36" s="3"/>
      <c r="C36" s="4"/>
      <c r="D36" s="4"/>
      <c r="E36" s="62"/>
      <c r="F36" s="52"/>
      <c r="G36" s="4"/>
      <c r="H36" s="52"/>
      <c r="I36" s="4"/>
      <c r="J36" s="4"/>
      <c r="K36" s="4"/>
      <c r="L36" s="4"/>
      <c r="M36" s="4"/>
    </row>
    <row r="37" spans="1:13" ht="20.25" customHeight="1" x14ac:dyDescent="0.25">
      <c r="A37" s="4"/>
      <c r="B37" s="3"/>
      <c r="C37" s="4"/>
      <c r="D37" s="4"/>
      <c r="E37" s="62"/>
      <c r="F37" s="52"/>
      <c r="G37" s="4"/>
      <c r="H37" s="52"/>
      <c r="I37" s="4"/>
      <c r="J37" s="4"/>
      <c r="K37" s="4"/>
      <c r="L37" s="4"/>
      <c r="M37" s="4"/>
    </row>
    <row r="38" spans="1:13" ht="20.25" customHeight="1" x14ac:dyDescent="0.25">
      <c r="A38" s="4"/>
      <c r="B38" s="3"/>
      <c r="C38" s="4"/>
      <c r="D38" s="4"/>
      <c r="E38" s="62"/>
      <c r="F38" s="52"/>
      <c r="G38" s="4"/>
      <c r="H38" s="52"/>
      <c r="I38" s="4"/>
      <c r="J38" s="4"/>
      <c r="K38" s="4"/>
      <c r="L38" s="4"/>
      <c r="M38" s="4"/>
    </row>
    <row r="39" spans="1:13" ht="20.25" customHeight="1" x14ac:dyDescent="0.25">
      <c r="A39" s="4"/>
      <c r="B39" s="3"/>
      <c r="C39" s="4"/>
      <c r="D39" s="4"/>
      <c r="E39" s="62"/>
      <c r="F39" s="52"/>
      <c r="G39" s="4"/>
      <c r="H39" s="52"/>
      <c r="I39" s="4"/>
      <c r="J39" s="4"/>
      <c r="K39" s="4"/>
      <c r="L39" s="4"/>
      <c r="M39" s="4"/>
    </row>
    <row r="40" spans="1:13" ht="20.25" customHeight="1" x14ac:dyDescent="0.25">
      <c r="A40" s="4"/>
      <c r="B40" s="3"/>
      <c r="C40" s="4"/>
      <c r="D40" s="4"/>
      <c r="E40" s="62"/>
      <c r="F40" s="52"/>
      <c r="G40" s="4"/>
      <c r="H40" s="52"/>
      <c r="I40" s="4"/>
      <c r="J40" s="4"/>
      <c r="K40" s="4"/>
      <c r="L40" s="4"/>
      <c r="M40" s="4"/>
    </row>
    <row r="41" spans="1:13" ht="20.25" customHeight="1" x14ac:dyDescent="0.25">
      <c r="A41" s="4"/>
      <c r="B41" s="3"/>
      <c r="C41" s="4"/>
      <c r="D41" s="4"/>
      <c r="E41" s="62"/>
      <c r="F41" s="52"/>
      <c r="G41" s="4"/>
      <c r="H41" s="52"/>
      <c r="I41" s="4"/>
      <c r="J41" s="4"/>
      <c r="K41" s="4"/>
      <c r="L41" s="4"/>
      <c r="M41" s="4"/>
    </row>
    <row r="42" spans="1:13" ht="20.25" customHeight="1" x14ac:dyDescent="0.25">
      <c r="A42" s="4"/>
      <c r="B42" s="3"/>
      <c r="C42" s="4"/>
      <c r="D42" s="4"/>
      <c r="E42" s="62"/>
      <c r="F42" s="52"/>
      <c r="G42" s="4"/>
      <c r="H42" s="52"/>
      <c r="I42" s="4"/>
      <c r="J42" s="4"/>
      <c r="K42" s="4"/>
      <c r="L42" s="4"/>
      <c r="M42" s="4"/>
    </row>
    <row r="43" spans="1:13" ht="20.25" customHeight="1" x14ac:dyDescent="0.25">
      <c r="A43" s="4"/>
      <c r="B43" s="3"/>
      <c r="C43" s="4"/>
      <c r="D43" s="4"/>
      <c r="E43" s="62"/>
      <c r="F43" s="52"/>
      <c r="G43" s="4"/>
      <c r="H43" s="52"/>
      <c r="I43" s="4"/>
      <c r="J43" s="4"/>
      <c r="K43" s="4"/>
      <c r="L43" s="4"/>
      <c r="M43" s="4"/>
    </row>
    <row r="44" spans="1:13" ht="20.25" customHeight="1" x14ac:dyDescent="0.25">
      <c r="A44" s="4"/>
      <c r="B44" s="3"/>
      <c r="C44" s="4"/>
      <c r="D44" s="4"/>
      <c r="E44" s="62"/>
      <c r="F44" s="52"/>
      <c r="G44" s="4"/>
      <c r="H44" s="52"/>
      <c r="I44" s="4"/>
      <c r="J44" s="4"/>
      <c r="K44" s="4"/>
      <c r="L44" s="4"/>
      <c r="M44" s="4"/>
    </row>
    <row r="45" spans="1:13" ht="20.25" customHeight="1" x14ac:dyDescent="0.25">
      <c r="A45" s="4"/>
      <c r="B45" s="3"/>
      <c r="C45" s="4"/>
      <c r="D45" s="4"/>
      <c r="E45" s="62"/>
      <c r="F45" s="52"/>
      <c r="G45" s="4"/>
      <c r="H45" s="52"/>
      <c r="I45" s="4"/>
      <c r="J45" s="4"/>
      <c r="K45" s="4"/>
      <c r="L45" s="4"/>
      <c r="M45" s="4"/>
    </row>
    <row r="46" spans="1:13" ht="20.25" customHeight="1" x14ac:dyDescent="0.25">
      <c r="A46" s="4"/>
      <c r="B46" s="3"/>
      <c r="C46" s="4"/>
      <c r="D46" s="4"/>
      <c r="E46" s="62"/>
      <c r="F46" s="52"/>
      <c r="G46" s="4"/>
      <c r="H46" s="52"/>
      <c r="I46" s="4"/>
      <c r="J46" s="4"/>
      <c r="K46" s="4"/>
      <c r="L46" s="4"/>
      <c r="M46" s="4"/>
    </row>
    <row r="47" spans="1:13" ht="20.25" customHeight="1" x14ac:dyDescent="0.25">
      <c r="A47" s="4"/>
      <c r="B47" s="3"/>
      <c r="C47" s="4"/>
      <c r="D47" s="4"/>
      <c r="E47" s="62"/>
      <c r="F47" s="52"/>
      <c r="G47" s="4"/>
      <c r="H47" s="52"/>
      <c r="I47" s="4"/>
      <c r="J47" s="4"/>
      <c r="K47" s="4"/>
      <c r="L47" s="4"/>
      <c r="M47" s="4"/>
    </row>
    <row r="48" spans="1:13" ht="20.25" customHeight="1" x14ac:dyDescent="0.25">
      <c r="A48" s="4"/>
      <c r="B48" s="3"/>
      <c r="C48" s="4"/>
      <c r="D48" s="4"/>
      <c r="E48" s="62"/>
      <c r="F48" s="52"/>
      <c r="G48" s="4"/>
      <c r="H48" s="52"/>
      <c r="I48" s="4"/>
      <c r="J48" s="4"/>
      <c r="K48" s="4"/>
      <c r="L48" s="4"/>
      <c r="M48" s="4"/>
    </row>
    <row r="49" spans="1:13" ht="20.25" customHeight="1" x14ac:dyDescent="0.25">
      <c r="A49" s="4"/>
      <c r="B49" s="3"/>
      <c r="C49" s="4"/>
      <c r="D49" s="4"/>
      <c r="E49" s="62"/>
      <c r="F49" s="52"/>
      <c r="G49" s="4"/>
      <c r="H49" s="52"/>
      <c r="I49" s="4"/>
      <c r="J49" s="4"/>
      <c r="K49" s="4"/>
      <c r="L49" s="4"/>
      <c r="M49" s="4"/>
    </row>
    <row r="50" spans="1:13" ht="20.25" customHeight="1" x14ac:dyDescent="0.25">
      <c r="A50" s="4"/>
      <c r="B50" s="3"/>
      <c r="C50" s="4"/>
      <c r="D50" s="4"/>
      <c r="E50" s="62"/>
      <c r="F50" s="52"/>
      <c r="G50" s="4"/>
      <c r="H50" s="52"/>
      <c r="I50" s="4"/>
      <c r="J50" s="4"/>
      <c r="K50" s="4"/>
      <c r="L50" s="4"/>
      <c r="M50" s="4"/>
    </row>
    <row r="51" spans="1:13" ht="20.25" customHeight="1" x14ac:dyDescent="0.25">
      <c r="A51" s="4"/>
      <c r="B51" s="3"/>
      <c r="C51" s="4"/>
      <c r="D51" s="4"/>
      <c r="E51" s="62"/>
      <c r="F51" s="52"/>
      <c r="G51" s="4"/>
      <c r="H51" s="52"/>
      <c r="I51" s="4"/>
      <c r="J51" s="4"/>
      <c r="K51" s="4"/>
      <c r="L51" s="4"/>
      <c r="M51" s="4"/>
    </row>
    <row r="52" spans="1:13" ht="20.25" customHeight="1" x14ac:dyDescent="0.25">
      <c r="A52" s="4"/>
      <c r="B52" s="3"/>
      <c r="C52" s="4"/>
      <c r="D52" s="4"/>
      <c r="E52" s="62"/>
      <c r="F52" s="52"/>
      <c r="G52" s="4"/>
      <c r="H52" s="52"/>
      <c r="I52" s="4"/>
      <c r="J52" s="4"/>
      <c r="K52" s="4"/>
      <c r="L52" s="4"/>
      <c r="M52" s="4"/>
    </row>
    <row r="53" spans="1:13" ht="20.25" customHeight="1" x14ac:dyDescent="0.25">
      <c r="A53" s="4"/>
      <c r="B53" s="3"/>
      <c r="C53" s="4"/>
      <c r="D53" s="4"/>
      <c r="E53" s="62"/>
      <c r="F53" s="52"/>
      <c r="G53" s="4"/>
      <c r="H53" s="52"/>
      <c r="I53" s="4"/>
      <c r="J53" s="4"/>
      <c r="K53" s="4"/>
      <c r="L53" s="4"/>
      <c r="M53" s="4"/>
    </row>
    <row r="54" spans="1:13" ht="20.25" customHeight="1" x14ac:dyDescent="0.25">
      <c r="A54" s="4"/>
      <c r="B54" s="3"/>
      <c r="C54" s="4"/>
      <c r="D54" s="4"/>
      <c r="E54" s="62"/>
      <c r="F54" s="52"/>
      <c r="G54" s="4"/>
      <c r="H54" s="52"/>
      <c r="I54" s="4"/>
      <c r="J54" s="4"/>
      <c r="K54" s="4"/>
      <c r="L54" s="4"/>
      <c r="M54" s="4"/>
    </row>
    <row r="55" spans="1:13" ht="20.25" customHeight="1" x14ac:dyDescent="0.25">
      <c r="A55" s="4"/>
      <c r="B55" s="3"/>
      <c r="C55" s="4"/>
      <c r="D55" s="4"/>
      <c r="E55" s="62"/>
      <c r="F55" s="52"/>
      <c r="G55" s="4"/>
      <c r="H55" s="52"/>
      <c r="I55" s="4"/>
      <c r="J55" s="4"/>
      <c r="K55" s="4"/>
      <c r="L55" s="4"/>
      <c r="M55" s="4"/>
    </row>
    <row r="56" spans="1:13" ht="20.25" customHeight="1" x14ac:dyDescent="0.25">
      <c r="A56" s="4"/>
      <c r="B56" s="3"/>
      <c r="C56" s="4"/>
      <c r="D56" s="4"/>
      <c r="E56" s="62"/>
      <c r="F56" s="52"/>
      <c r="G56" s="4"/>
      <c r="H56" s="52"/>
      <c r="I56" s="4"/>
      <c r="J56" s="4"/>
      <c r="K56" s="4"/>
      <c r="L56" s="4"/>
      <c r="M56" s="4"/>
    </row>
    <row r="57" spans="1:13" ht="20.25" customHeight="1" x14ac:dyDescent="0.25">
      <c r="A57" s="4"/>
      <c r="B57" s="3"/>
      <c r="C57" s="4"/>
      <c r="D57" s="4"/>
      <c r="E57" s="62"/>
      <c r="F57" s="52"/>
      <c r="G57" s="4"/>
      <c r="H57" s="52"/>
      <c r="I57" s="4"/>
      <c r="J57" s="4"/>
      <c r="K57" s="4"/>
      <c r="L57" s="4"/>
      <c r="M57" s="4"/>
    </row>
    <row r="58" spans="1:13" ht="20.25" customHeight="1" x14ac:dyDescent="0.25">
      <c r="A58" s="4"/>
      <c r="B58" s="3"/>
      <c r="C58" s="4"/>
      <c r="D58" s="4"/>
      <c r="E58" s="62"/>
      <c r="F58" s="52"/>
      <c r="G58" s="4"/>
      <c r="H58" s="52"/>
      <c r="I58" s="4"/>
      <c r="J58" s="4"/>
      <c r="K58" s="4"/>
      <c r="L58" s="4"/>
      <c r="M58" s="4"/>
    </row>
    <row r="59" spans="1:13" ht="20.25" customHeight="1" x14ac:dyDescent="0.25">
      <c r="A59" s="4"/>
      <c r="B59" s="3"/>
      <c r="C59" s="4"/>
      <c r="D59" s="4"/>
      <c r="E59" s="62"/>
      <c r="F59" s="52"/>
      <c r="G59" s="4"/>
      <c r="H59" s="52"/>
      <c r="I59" s="4"/>
      <c r="J59" s="4"/>
      <c r="K59" s="4"/>
      <c r="L59" s="4"/>
      <c r="M59" s="4"/>
    </row>
    <row r="60" spans="1:13" ht="20.25" customHeight="1" x14ac:dyDescent="0.25">
      <c r="A60" s="4"/>
      <c r="B60" s="3"/>
      <c r="C60" s="4"/>
      <c r="D60" s="4"/>
      <c r="E60" s="62"/>
      <c r="F60" s="52"/>
      <c r="G60" s="4"/>
      <c r="H60" s="52"/>
      <c r="I60" s="4"/>
      <c r="J60" s="4"/>
      <c r="K60" s="4"/>
      <c r="L60" s="4"/>
      <c r="M60" s="4"/>
    </row>
    <row r="61" spans="1:13" ht="20.25" customHeight="1" x14ac:dyDescent="0.25">
      <c r="A61" s="4"/>
      <c r="B61" s="3"/>
      <c r="C61" s="4"/>
      <c r="D61" s="4"/>
      <c r="E61" s="62"/>
      <c r="F61" s="52"/>
      <c r="G61" s="4"/>
      <c r="H61" s="52"/>
      <c r="I61" s="4"/>
      <c r="J61" s="4"/>
      <c r="K61" s="4"/>
      <c r="L61" s="4"/>
      <c r="M61" s="4"/>
    </row>
    <row r="62" spans="1:13" ht="20.25" customHeight="1" x14ac:dyDescent="0.25">
      <c r="A62" s="4"/>
      <c r="B62" s="3"/>
      <c r="C62" s="4"/>
      <c r="D62" s="4"/>
      <c r="E62" s="62"/>
      <c r="F62" s="52"/>
      <c r="G62" s="4"/>
      <c r="H62" s="52"/>
      <c r="I62" s="4"/>
      <c r="J62" s="4"/>
      <c r="K62" s="4"/>
      <c r="L62" s="4"/>
      <c r="M62" s="4"/>
    </row>
    <row r="63" spans="1:13" ht="20.25" customHeight="1" x14ac:dyDescent="0.25">
      <c r="A63" s="4"/>
      <c r="B63" s="3"/>
      <c r="C63" s="4"/>
      <c r="D63" s="4"/>
      <c r="E63" s="62"/>
      <c r="F63" s="52"/>
      <c r="G63" s="4"/>
      <c r="H63" s="52"/>
      <c r="I63" s="4"/>
      <c r="J63" s="4"/>
      <c r="K63" s="4"/>
      <c r="L63" s="4"/>
      <c r="M63" s="4"/>
    </row>
    <row r="64" spans="1:13" ht="20.25" customHeight="1" x14ac:dyDescent="0.25">
      <c r="A64" s="4"/>
      <c r="B64" s="3"/>
      <c r="C64" s="4"/>
      <c r="D64" s="4"/>
      <c r="E64" s="62"/>
      <c r="F64" s="52"/>
      <c r="G64" s="4"/>
      <c r="H64" s="52"/>
      <c r="I64" s="4"/>
      <c r="J64" s="4"/>
      <c r="K64" s="4"/>
      <c r="L64" s="4"/>
      <c r="M64" s="4"/>
    </row>
    <row r="65" spans="1:13" ht="20.25" customHeight="1" x14ac:dyDescent="0.25">
      <c r="A65" s="4"/>
      <c r="B65" s="3"/>
      <c r="C65" s="4"/>
      <c r="D65" s="4"/>
      <c r="E65" s="62"/>
      <c r="F65" s="52"/>
      <c r="G65" s="4"/>
      <c r="H65" s="52"/>
      <c r="I65" s="4"/>
      <c r="J65" s="4"/>
      <c r="K65" s="4"/>
      <c r="L65" s="4"/>
      <c r="M65" s="4"/>
    </row>
    <row r="66" spans="1:13" ht="20.25" customHeight="1" x14ac:dyDescent="0.25">
      <c r="A66" s="4"/>
      <c r="B66" s="3"/>
      <c r="C66" s="4"/>
      <c r="D66" s="4"/>
      <c r="E66" s="62"/>
      <c r="F66" s="52"/>
      <c r="G66" s="4"/>
      <c r="H66" s="52"/>
      <c r="I66" s="4"/>
      <c r="J66" s="4"/>
      <c r="K66" s="4"/>
      <c r="L66" s="4"/>
      <c r="M66" s="4"/>
    </row>
    <row r="67" spans="1:13" ht="20.25" customHeight="1" x14ac:dyDescent="0.25">
      <c r="A67" s="4"/>
      <c r="B67" s="3"/>
      <c r="C67" s="4"/>
      <c r="D67" s="4"/>
      <c r="E67" s="62"/>
      <c r="F67" s="52"/>
      <c r="G67" s="4"/>
      <c r="H67" s="52"/>
      <c r="I67" s="4"/>
      <c r="J67" s="4"/>
      <c r="K67" s="4"/>
      <c r="L67" s="4"/>
      <c r="M67" s="4"/>
    </row>
    <row r="68" spans="1:13" ht="20.25" customHeight="1" x14ac:dyDescent="0.25">
      <c r="A68" s="4"/>
      <c r="B68" s="3"/>
      <c r="C68" s="4"/>
      <c r="D68" s="4"/>
      <c r="E68" s="62"/>
      <c r="F68" s="52"/>
      <c r="G68" s="4"/>
      <c r="H68" s="52"/>
      <c r="I68" s="4"/>
      <c r="J68" s="4"/>
      <c r="K68" s="4"/>
      <c r="L68" s="4"/>
      <c r="M68" s="4"/>
    </row>
    <row r="69" spans="1:13" ht="20.25" customHeight="1" x14ac:dyDescent="0.25">
      <c r="A69" s="4"/>
      <c r="B69" s="3"/>
      <c r="C69" s="4"/>
      <c r="D69" s="4"/>
      <c r="E69" s="62"/>
      <c r="F69" s="52"/>
      <c r="G69" s="4"/>
      <c r="H69" s="52"/>
      <c r="I69" s="4"/>
      <c r="J69" s="4"/>
      <c r="K69" s="4"/>
      <c r="L69" s="4"/>
      <c r="M69" s="4"/>
    </row>
    <row r="70" spans="1:13" ht="20.25" customHeight="1" x14ac:dyDescent="0.25">
      <c r="A70" s="4"/>
      <c r="B70" s="3"/>
      <c r="C70" s="4"/>
      <c r="D70" s="4"/>
      <c r="E70" s="62"/>
      <c r="F70" s="52"/>
      <c r="G70" s="4"/>
      <c r="H70" s="52"/>
      <c r="I70" s="4"/>
      <c r="J70" s="4"/>
      <c r="K70" s="4"/>
      <c r="L70" s="4"/>
      <c r="M70" s="4"/>
    </row>
    <row r="71" spans="1:13" ht="20.25" customHeight="1" x14ac:dyDescent="0.25">
      <c r="A71" s="4"/>
      <c r="B71" s="3"/>
      <c r="C71" s="4"/>
      <c r="D71" s="4"/>
      <c r="E71" s="62"/>
      <c r="F71" s="52"/>
      <c r="G71" s="4"/>
      <c r="H71" s="52"/>
      <c r="I71" s="4"/>
      <c r="J71" s="4"/>
      <c r="K71" s="4"/>
      <c r="L71" s="4"/>
      <c r="M71" s="4"/>
    </row>
    <row r="72" spans="1:13" ht="20.25" customHeight="1" x14ac:dyDescent="0.25">
      <c r="A72" s="4"/>
      <c r="B72" s="3"/>
      <c r="C72" s="4"/>
      <c r="D72" s="4"/>
      <c r="E72" s="62"/>
      <c r="F72" s="52"/>
      <c r="G72" s="4"/>
      <c r="H72" s="52"/>
      <c r="I72" s="4"/>
      <c r="J72" s="4"/>
      <c r="K72" s="4"/>
      <c r="L72" s="4"/>
      <c r="M72" s="4"/>
    </row>
    <row r="73" spans="1:13" ht="20.25" customHeight="1" x14ac:dyDescent="0.25">
      <c r="A73" s="4"/>
      <c r="B73" s="3"/>
      <c r="C73" s="4"/>
      <c r="D73" s="4"/>
      <c r="E73" s="62"/>
      <c r="F73" s="52"/>
      <c r="G73" s="4"/>
      <c r="H73" s="52"/>
      <c r="I73" s="4"/>
      <c r="J73" s="4"/>
      <c r="K73" s="4"/>
      <c r="L73" s="4"/>
      <c r="M73" s="4"/>
    </row>
    <row r="74" spans="1:13" ht="20.25" customHeight="1" x14ac:dyDescent="0.25">
      <c r="A74" s="4"/>
      <c r="B74" s="3"/>
      <c r="C74" s="4"/>
      <c r="D74" s="4"/>
      <c r="E74" s="62"/>
      <c r="F74" s="52"/>
      <c r="G74" s="4"/>
      <c r="H74" s="52"/>
      <c r="I74" s="4"/>
      <c r="J74" s="4"/>
      <c r="K74" s="4"/>
      <c r="L74" s="4"/>
      <c r="M74" s="4"/>
    </row>
    <row r="75" spans="1:13" ht="20.25" customHeight="1" x14ac:dyDescent="0.25">
      <c r="A75" s="4"/>
      <c r="B75" s="3"/>
      <c r="C75" s="4"/>
      <c r="D75" s="4"/>
      <c r="E75" s="74"/>
      <c r="F75" s="52"/>
      <c r="G75" s="4"/>
      <c r="H75" s="52"/>
      <c r="I75" s="4"/>
      <c r="J75" s="4"/>
      <c r="K75" s="4"/>
      <c r="L75" s="4"/>
      <c r="M75" s="4"/>
    </row>
    <row r="76" spans="1:13" ht="20.25" customHeight="1" x14ac:dyDescent="0.25">
      <c r="A76" s="4"/>
      <c r="B76" s="3"/>
      <c r="C76" s="4"/>
      <c r="D76" s="4"/>
      <c r="E76" s="62"/>
      <c r="F76" s="52"/>
      <c r="G76" s="4"/>
      <c r="H76" s="52"/>
      <c r="I76" s="4"/>
      <c r="J76" s="4"/>
      <c r="K76" s="4"/>
      <c r="L76" s="4"/>
      <c r="M76" s="4"/>
    </row>
    <row r="77" spans="1:13" ht="20.25" customHeight="1" x14ac:dyDescent="0.25">
      <c r="A77" s="4"/>
      <c r="B77" s="3"/>
      <c r="C77" s="4"/>
      <c r="D77" s="4"/>
      <c r="E77" s="62"/>
      <c r="F77" s="52"/>
      <c r="G77" s="4"/>
      <c r="H77" s="52"/>
      <c r="I77" s="4"/>
      <c r="J77" s="4"/>
      <c r="K77" s="4"/>
      <c r="L77" s="4"/>
      <c r="M77" s="4"/>
    </row>
    <row r="78" spans="1:13" ht="20.25" customHeight="1" x14ac:dyDescent="0.25">
      <c r="A78" s="4"/>
      <c r="B78" s="3"/>
      <c r="C78" s="4"/>
      <c r="D78" s="4"/>
      <c r="E78" s="62"/>
      <c r="F78" s="52"/>
      <c r="G78" s="4"/>
      <c r="H78" s="52"/>
      <c r="I78" s="4"/>
      <c r="J78" s="4"/>
      <c r="K78" s="4"/>
      <c r="L78" s="4"/>
      <c r="M78" s="4"/>
    </row>
    <row r="79" spans="1:13" ht="20.25" customHeight="1" x14ac:dyDescent="0.25">
      <c r="A79" s="4"/>
      <c r="B79" s="3"/>
      <c r="C79" s="4"/>
      <c r="D79" s="4"/>
      <c r="E79" s="62"/>
      <c r="F79" s="52"/>
      <c r="G79" s="4"/>
      <c r="H79" s="52"/>
      <c r="I79" s="4"/>
      <c r="J79" s="4"/>
      <c r="K79" s="4"/>
      <c r="L79" s="4"/>
      <c r="M79" s="4"/>
    </row>
    <row r="80" spans="1:13" ht="20.25" customHeight="1" x14ac:dyDescent="0.25">
      <c r="A80" s="4"/>
      <c r="B80" s="3"/>
      <c r="C80" s="4"/>
      <c r="D80" s="4"/>
      <c r="E80" s="62"/>
      <c r="F80" s="52"/>
      <c r="G80" s="4"/>
      <c r="H80" s="52"/>
      <c r="I80" s="4"/>
      <c r="J80" s="4"/>
      <c r="K80" s="4"/>
      <c r="L80" s="4"/>
      <c r="M80" s="4"/>
    </row>
    <row r="81" spans="1:13" ht="20.25" customHeight="1" x14ac:dyDescent="0.25">
      <c r="A81" s="4"/>
      <c r="B81" s="3"/>
      <c r="C81" s="4"/>
      <c r="D81" s="4"/>
      <c r="E81" s="62"/>
      <c r="F81" s="52"/>
      <c r="G81" s="4"/>
      <c r="H81" s="52"/>
      <c r="I81" s="4"/>
      <c r="J81" s="4"/>
      <c r="K81" s="4"/>
      <c r="L81" s="4"/>
      <c r="M81" s="4"/>
    </row>
    <row r="82" spans="1:13" ht="20.25" customHeight="1" x14ac:dyDescent="0.25">
      <c r="A82" s="4"/>
      <c r="B82" s="3"/>
      <c r="C82" s="4"/>
      <c r="D82" s="4"/>
      <c r="E82" s="62"/>
      <c r="F82" s="52"/>
      <c r="G82" s="4"/>
      <c r="H82" s="52"/>
      <c r="I82" s="4"/>
      <c r="J82" s="4"/>
      <c r="K82" s="4"/>
      <c r="L82" s="4"/>
      <c r="M82" s="4"/>
    </row>
    <row r="83" spans="1:13" ht="20.25" customHeight="1" x14ac:dyDescent="0.25">
      <c r="A83" s="4"/>
      <c r="B83" s="3"/>
      <c r="C83" s="4"/>
      <c r="D83" s="4"/>
      <c r="E83" s="62"/>
      <c r="F83" s="52"/>
      <c r="G83" s="4"/>
      <c r="H83" s="52"/>
      <c r="I83" s="4"/>
      <c r="J83" s="4"/>
      <c r="K83" s="4"/>
      <c r="L83" s="4"/>
      <c r="M83" s="4"/>
    </row>
    <row r="84" spans="1:13" ht="20.25" customHeight="1" x14ac:dyDescent="0.25">
      <c r="A84" s="4"/>
      <c r="B84" s="3"/>
      <c r="C84" s="4"/>
      <c r="D84" s="4"/>
      <c r="E84" s="62"/>
      <c r="F84" s="52"/>
      <c r="G84" s="4"/>
      <c r="H84" s="52"/>
      <c r="I84" s="4"/>
      <c r="J84" s="4"/>
      <c r="K84" s="4"/>
      <c r="L84" s="4"/>
      <c r="M84" s="4"/>
    </row>
    <row r="85" spans="1:13" ht="20.25" customHeight="1" x14ac:dyDescent="0.25">
      <c r="A85" s="4"/>
      <c r="B85" s="3"/>
      <c r="C85" s="4"/>
      <c r="D85" s="4"/>
      <c r="E85" s="62"/>
      <c r="F85" s="52"/>
      <c r="G85" s="4"/>
      <c r="H85" s="52"/>
      <c r="I85" s="4"/>
      <c r="J85" s="4"/>
      <c r="K85" s="4"/>
      <c r="L85" s="4"/>
      <c r="M85" s="4"/>
    </row>
    <row r="86" spans="1:13" ht="20.25" customHeight="1" x14ac:dyDescent="0.25">
      <c r="A86" s="4"/>
      <c r="B86" s="3"/>
      <c r="C86" s="4"/>
      <c r="D86" s="4"/>
      <c r="E86" s="62"/>
      <c r="F86" s="52"/>
      <c r="G86" s="4"/>
      <c r="H86" s="52"/>
      <c r="I86" s="4"/>
      <c r="J86" s="4"/>
      <c r="K86" s="4"/>
      <c r="L86" s="4"/>
      <c r="M86" s="4"/>
    </row>
    <row r="87" spans="1:13" ht="20.25" customHeight="1" x14ac:dyDescent="0.25">
      <c r="A87" s="4"/>
      <c r="B87" s="3"/>
      <c r="C87" s="4"/>
      <c r="D87" s="4"/>
      <c r="E87" s="62"/>
      <c r="F87" s="52"/>
      <c r="G87" s="4"/>
      <c r="H87" s="52"/>
      <c r="I87" s="4"/>
      <c r="J87" s="4"/>
      <c r="K87" s="4"/>
      <c r="L87" s="4"/>
      <c r="M87" s="4"/>
    </row>
    <row r="88" spans="1:13" ht="20.25" customHeight="1" x14ac:dyDescent="0.25">
      <c r="A88" s="4"/>
      <c r="B88" s="3"/>
      <c r="C88" s="4"/>
      <c r="D88" s="4"/>
      <c r="E88" s="62"/>
      <c r="F88" s="52"/>
      <c r="G88" s="4"/>
      <c r="H88" s="52"/>
      <c r="I88" s="4"/>
      <c r="J88" s="4"/>
      <c r="K88" s="4"/>
      <c r="L88" s="4"/>
      <c r="M88" s="4"/>
    </row>
    <row r="89" spans="1:13" ht="20.25" customHeight="1" x14ac:dyDescent="0.25">
      <c r="A89" s="4"/>
      <c r="B89" s="3"/>
      <c r="C89" s="4"/>
      <c r="D89" s="4"/>
      <c r="E89" s="62"/>
      <c r="F89" s="52"/>
      <c r="G89" s="4"/>
      <c r="H89" s="52"/>
      <c r="I89" s="4"/>
      <c r="J89" s="4"/>
      <c r="K89" s="4"/>
      <c r="L89" s="4"/>
      <c r="M89" s="4"/>
    </row>
    <row r="90" spans="1:13" ht="20.25" customHeight="1" x14ac:dyDescent="0.25">
      <c r="A90" s="4"/>
      <c r="B90" s="3"/>
      <c r="C90" s="4"/>
      <c r="D90" s="4"/>
      <c r="E90" s="62"/>
      <c r="F90" s="52"/>
      <c r="G90" s="4"/>
      <c r="H90" s="52"/>
      <c r="I90" s="4"/>
      <c r="J90" s="4"/>
      <c r="K90" s="4"/>
      <c r="L90" s="4"/>
      <c r="M90" s="4"/>
    </row>
    <row r="91" spans="1:13" ht="20.25" customHeight="1" x14ac:dyDescent="0.25">
      <c r="A91" s="4"/>
      <c r="B91" s="3"/>
      <c r="C91" s="4"/>
      <c r="D91" s="4"/>
      <c r="E91" s="62"/>
      <c r="F91" s="52"/>
      <c r="G91" s="4"/>
      <c r="H91" s="52"/>
      <c r="I91" s="4"/>
      <c r="J91" s="4"/>
      <c r="K91" s="4"/>
      <c r="L91" s="4"/>
      <c r="M91" s="4"/>
    </row>
    <row r="92" spans="1:13" ht="20.25" customHeight="1" x14ac:dyDescent="0.25">
      <c r="A92" s="4"/>
      <c r="B92" s="3"/>
      <c r="C92" s="4"/>
      <c r="D92" s="4"/>
      <c r="E92" s="62"/>
      <c r="F92" s="52"/>
      <c r="G92" s="4"/>
      <c r="H92" s="52"/>
      <c r="I92" s="4"/>
      <c r="J92" s="4"/>
      <c r="K92" s="4"/>
      <c r="L92" s="4"/>
      <c r="M92" s="4"/>
    </row>
    <row r="93" spans="1:13" ht="20.25" customHeight="1" x14ac:dyDescent="0.25">
      <c r="A93" s="4"/>
      <c r="B93" s="3"/>
      <c r="C93" s="4"/>
      <c r="D93" s="4"/>
      <c r="E93" s="62"/>
      <c r="F93" s="52"/>
      <c r="G93" s="4"/>
      <c r="H93" s="52"/>
      <c r="I93" s="4"/>
      <c r="J93" s="4"/>
      <c r="K93" s="4"/>
      <c r="L93" s="4"/>
      <c r="M93" s="4"/>
    </row>
    <row r="94" spans="1:13" ht="20.25" customHeight="1" x14ac:dyDescent="0.25">
      <c r="A94" s="4"/>
      <c r="B94" s="3"/>
      <c r="C94" s="4"/>
      <c r="D94" s="4"/>
      <c r="E94" s="62"/>
      <c r="F94" s="52"/>
      <c r="G94" s="4"/>
      <c r="H94" s="52"/>
      <c r="I94" s="4"/>
      <c r="J94" s="4"/>
      <c r="K94" s="4"/>
      <c r="L94" s="4"/>
      <c r="M94" s="4"/>
    </row>
    <row r="95" spans="1:13" ht="20.25" customHeight="1" x14ac:dyDescent="0.25">
      <c r="A95" s="4"/>
      <c r="B95" s="3"/>
      <c r="C95" s="4"/>
      <c r="D95" s="4"/>
      <c r="E95" s="62"/>
      <c r="F95" s="52"/>
      <c r="G95" s="4"/>
      <c r="H95" s="52"/>
      <c r="I95" s="4"/>
      <c r="J95" s="4"/>
      <c r="K95" s="4"/>
      <c r="L95" s="4"/>
      <c r="M95" s="4"/>
    </row>
    <row r="96" spans="1:13" ht="20.25" customHeight="1" x14ac:dyDescent="0.25">
      <c r="A96" s="4"/>
      <c r="B96" s="3"/>
      <c r="C96" s="4"/>
      <c r="D96" s="4"/>
      <c r="E96" s="62"/>
      <c r="F96" s="52"/>
      <c r="G96" s="4"/>
      <c r="H96" s="52"/>
      <c r="I96" s="4"/>
      <c r="J96" s="4"/>
      <c r="K96" s="4"/>
      <c r="L96" s="4"/>
      <c r="M96" s="4"/>
    </row>
    <row r="97" spans="1:13" ht="20.25" customHeight="1" x14ac:dyDescent="0.25">
      <c r="A97" s="4"/>
      <c r="B97" s="3"/>
      <c r="C97" s="4"/>
      <c r="D97" s="4"/>
      <c r="E97" s="62"/>
      <c r="F97" s="52"/>
      <c r="G97" s="4"/>
      <c r="H97" s="52"/>
      <c r="I97" s="4"/>
      <c r="J97" s="4"/>
      <c r="K97" s="4"/>
      <c r="L97" s="4"/>
      <c r="M97" s="4"/>
    </row>
    <row r="98" spans="1:13" ht="20.25" customHeight="1" x14ac:dyDescent="0.25">
      <c r="A98" s="4"/>
      <c r="B98" s="3"/>
      <c r="C98" s="4"/>
      <c r="D98" s="4"/>
      <c r="E98" s="62"/>
      <c r="F98" s="52"/>
      <c r="G98" s="4"/>
      <c r="H98" s="52"/>
      <c r="I98" s="4"/>
      <c r="J98" s="4"/>
      <c r="K98" s="4"/>
      <c r="L98" s="4"/>
      <c r="M98" s="4"/>
    </row>
    <row r="99" spans="1:13" ht="20.25" customHeight="1" x14ac:dyDescent="0.25">
      <c r="A99" s="4"/>
      <c r="B99" s="3"/>
      <c r="C99" s="4"/>
      <c r="D99" s="4"/>
      <c r="E99" s="62"/>
      <c r="F99" s="52"/>
      <c r="G99" s="4"/>
      <c r="H99" s="52"/>
      <c r="I99" s="4"/>
      <c r="J99" s="4"/>
      <c r="K99" s="4"/>
      <c r="L99" s="4"/>
      <c r="M99" s="4"/>
    </row>
    <row r="100" spans="1:13" ht="20.25" customHeight="1" x14ac:dyDescent="0.25">
      <c r="A100" s="4"/>
      <c r="B100" s="3"/>
      <c r="C100" s="4"/>
      <c r="D100" s="4"/>
      <c r="E100" s="62"/>
      <c r="F100" s="52"/>
      <c r="G100" s="4"/>
      <c r="H100" s="52"/>
      <c r="I100" s="4"/>
      <c r="J100" s="4"/>
      <c r="K100" s="4"/>
      <c r="L100" s="4"/>
      <c r="M100" s="4"/>
    </row>
    <row r="101" spans="1:13" ht="15.75" customHeight="1" x14ac:dyDescent="0.25"/>
    <row r="102" spans="1:13" ht="15.75" customHeight="1" x14ac:dyDescent="0.25"/>
    <row r="103" spans="1:13" ht="15.75" customHeight="1" x14ac:dyDescent="0.25"/>
    <row r="104" spans="1:13" ht="15.75" customHeight="1" x14ac:dyDescent="0.25"/>
    <row r="105" spans="1:13" ht="15.75" customHeight="1" x14ac:dyDescent="0.25"/>
    <row r="106" spans="1:13" ht="15.75" customHeight="1" x14ac:dyDescent="0.25"/>
    <row r="107" spans="1:13" ht="15.75" customHeight="1" x14ac:dyDescent="0.25"/>
    <row r="108" spans="1:13" ht="15.75" customHeight="1" x14ac:dyDescent="0.25"/>
    <row r="109" spans="1:13" ht="15.75" customHeight="1" x14ac:dyDescent="0.25"/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23:H23"/>
    <mergeCell ref="B1:M1"/>
    <mergeCell ref="B3:M3"/>
    <mergeCell ref="B9:M9"/>
    <mergeCell ref="B13:M13"/>
    <mergeCell ref="B17:M17"/>
  </mergeCells>
  <pageMargins left="0.70866141732283472" right="0.70866141732283472" top="0.74803149606299213" bottom="0.74803149606299213" header="0" footer="0"/>
  <pageSetup orientation="landscape"/>
  <headerFooter>
    <oddHeader>&amp;LFinancial Plan of &amp;F and Family</oddHeader>
    <oddFooter>&amp;LPrepared by Sadique Neelgund, CFPCM&amp;RPage &amp;P of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/>
  </sheetViews>
  <sheetFormatPr defaultColWidth="12.59765625" defaultRowHeight="15" customHeight="1" x14ac:dyDescent="0.25"/>
  <cols>
    <col min="1" max="1" width="8.8984375" customWidth="1"/>
    <col min="2" max="2" width="45.69921875" customWidth="1"/>
    <col min="3" max="11" width="8.8984375" customWidth="1"/>
    <col min="12" max="26" width="14.3984375" customWidth="1"/>
  </cols>
  <sheetData>
    <row r="1" spans="1:11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4.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9.5" customHeight="1" x14ac:dyDescent="0.25">
      <c r="A3" s="39"/>
      <c r="B3" s="5" t="s">
        <v>227</v>
      </c>
      <c r="C3" s="39"/>
      <c r="D3" s="39"/>
      <c r="E3" s="39"/>
      <c r="F3" s="39"/>
      <c r="G3" s="39"/>
      <c r="H3" s="39"/>
      <c r="I3" s="39"/>
      <c r="J3" s="39"/>
      <c r="K3" s="39"/>
    </row>
    <row r="4" spans="1:11" ht="19.5" customHeight="1" x14ac:dyDescent="0.25">
      <c r="A4" s="39"/>
      <c r="B4" s="75" t="s">
        <v>228</v>
      </c>
      <c r="C4" s="39"/>
      <c r="D4" s="39"/>
      <c r="E4" s="39"/>
      <c r="F4" s="39"/>
      <c r="G4" s="39"/>
      <c r="H4" s="39"/>
      <c r="I4" s="39"/>
      <c r="J4" s="39"/>
      <c r="K4" s="39"/>
    </row>
    <row r="5" spans="1:11" ht="19.5" customHeight="1" x14ac:dyDescent="0.25">
      <c r="A5" s="39"/>
      <c r="B5" s="7" t="s">
        <v>229</v>
      </c>
      <c r="C5" s="39"/>
      <c r="D5" s="39"/>
      <c r="E5" s="39"/>
      <c r="F5" s="39"/>
      <c r="G5" s="39"/>
      <c r="H5" s="39"/>
      <c r="I5" s="39"/>
      <c r="J5" s="39"/>
      <c r="K5" s="39"/>
    </row>
    <row r="6" spans="1:11" ht="19.5" customHeight="1" x14ac:dyDescent="0.25">
      <c r="A6" s="39"/>
      <c r="B6" s="7" t="s">
        <v>230</v>
      </c>
      <c r="C6" s="39"/>
      <c r="D6" s="39"/>
      <c r="E6" s="39"/>
      <c r="F6" s="39"/>
      <c r="G6" s="39"/>
      <c r="H6" s="39"/>
      <c r="I6" s="39"/>
      <c r="J6" s="39"/>
      <c r="K6" s="39"/>
    </row>
    <row r="7" spans="1:11" ht="19.5" customHeight="1" x14ac:dyDescent="0.25">
      <c r="A7" s="39"/>
      <c r="B7" s="7"/>
      <c r="C7" s="39"/>
      <c r="D7" s="39"/>
      <c r="E7" s="39"/>
      <c r="F7" s="39"/>
      <c r="G7" s="39"/>
      <c r="H7" s="39"/>
      <c r="I7" s="39"/>
      <c r="J7" s="39"/>
      <c r="K7" s="39"/>
    </row>
    <row r="8" spans="1:11" ht="19.5" customHeight="1" x14ac:dyDescent="0.25">
      <c r="A8" s="39"/>
      <c r="B8" s="7"/>
      <c r="C8" s="39"/>
      <c r="D8" s="39"/>
      <c r="E8" s="39"/>
      <c r="F8" s="39"/>
      <c r="G8" s="39"/>
      <c r="H8" s="39"/>
      <c r="I8" s="39"/>
      <c r="J8" s="39"/>
      <c r="K8" s="39"/>
    </row>
    <row r="9" spans="1:11" ht="19.5" customHeight="1" x14ac:dyDescent="0.25">
      <c r="A9" s="39"/>
      <c r="B9" s="7"/>
      <c r="C9" s="39"/>
      <c r="D9" s="39"/>
      <c r="E9" s="39"/>
      <c r="F9" s="39"/>
      <c r="G9" s="39"/>
      <c r="H9" s="39"/>
      <c r="I9" s="39"/>
      <c r="J9" s="39"/>
      <c r="K9" s="39"/>
    </row>
    <row r="10" spans="1:11" ht="19.5" customHeight="1" x14ac:dyDescent="0.25">
      <c r="A10" s="39"/>
      <c r="B10" s="7"/>
      <c r="C10" s="39"/>
      <c r="D10" s="39"/>
      <c r="E10" s="39"/>
      <c r="F10" s="39"/>
      <c r="G10" s="39"/>
      <c r="H10" s="39"/>
      <c r="I10" s="39"/>
      <c r="J10" s="39"/>
      <c r="K10" s="39"/>
    </row>
    <row r="11" spans="1:11" ht="19.5" customHeight="1" x14ac:dyDescent="0.25">
      <c r="A11" s="39"/>
      <c r="B11" s="7"/>
      <c r="C11" s="39"/>
      <c r="D11" s="39"/>
      <c r="E11" s="39"/>
      <c r="F11" s="39"/>
      <c r="G11" s="39"/>
      <c r="H11" s="39"/>
      <c r="I11" s="39"/>
      <c r="J11" s="39"/>
      <c r="K11" s="39"/>
    </row>
    <row r="12" spans="1:11" ht="19.5" customHeight="1" x14ac:dyDescent="0.25">
      <c r="A12" s="39"/>
      <c r="B12" s="7"/>
      <c r="C12" s="39"/>
      <c r="D12" s="39"/>
      <c r="E12" s="39"/>
      <c r="F12" s="39"/>
      <c r="G12" s="39"/>
      <c r="H12" s="39"/>
      <c r="I12" s="39"/>
      <c r="J12" s="39"/>
      <c r="K12" s="39"/>
    </row>
    <row r="13" spans="1:11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4.4" x14ac:dyDescent="0.3">
      <c r="A15" s="2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5.75" customHeight="1" x14ac:dyDescent="0.25"/>
    <row r="102" spans="1:11" ht="15.75" customHeight="1" x14ac:dyDescent="0.25"/>
    <row r="103" spans="1:11" ht="15.75" customHeight="1" x14ac:dyDescent="0.25"/>
    <row r="104" spans="1:11" ht="15.75" customHeight="1" x14ac:dyDescent="0.25"/>
    <row r="105" spans="1:11" ht="15.75" customHeight="1" x14ac:dyDescent="0.25"/>
    <row r="106" spans="1:11" ht="15.75" customHeight="1" x14ac:dyDescent="0.25"/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H1000"/>
  <sheetViews>
    <sheetView workbookViewId="0"/>
  </sheetViews>
  <sheetFormatPr defaultColWidth="12.59765625" defaultRowHeight="15" customHeight="1" x14ac:dyDescent="0.25"/>
  <cols>
    <col min="1" max="1" width="10.69921875" customWidth="1"/>
    <col min="2" max="2" width="20.69921875" customWidth="1"/>
    <col min="3" max="3" width="16.8984375" customWidth="1"/>
    <col min="4" max="5" width="15.69921875" customWidth="1"/>
    <col min="6" max="6" width="16" customWidth="1"/>
    <col min="7" max="8" width="20.3984375" customWidth="1"/>
    <col min="9" max="26" width="14.3984375" customWidth="1"/>
  </cols>
  <sheetData>
    <row r="3" spans="2:8" ht="13.8" x14ac:dyDescent="0.25">
      <c r="B3" s="89" t="s">
        <v>111</v>
      </c>
      <c r="C3" s="86"/>
      <c r="D3" s="86"/>
      <c r="E3" s="86"/>
      <c r="F3" s="86"/>
    </row>
    <row r="4" spans="2:8" ht="13.8" x14ac:dyDescent="0.25">
      <c r="B4" s="98" t="s">
        <v>3</v>
      </c>
      <c r="C4" s="88"/>
      <c r="D4" s="76" t="str">
        <f>Data!D104</f>
        <v xml:space="preserve">Partha Lalit </v>
      </c>
      <c r="E4" s="76" t="str">
        <f>Data!E104</f>
        <v>NA</v>
      </c>
      <c r="F4" s="76" t="s">
        <v>112</v>
      </c>
      <c r="G4" s="6" t="s">
        <v>52</v>
      </c>
      <c r="H4" s="6" t="s">
        <v>231</v>
      </c>
    </row>
    <row r="5" spans="2:8" ht="14.4" x14ac:dyDescent="0.3">
      <c r="B5" s="87" t="s">
        <v>113</v>
      </c>
      <c r="C5" s="88"/>
      <c r="D5" s="77">
        <f>Data!D105</f>
        <v>0</v>
      </c>
      <c r="E5" s="77">
        <f>Data!E105</f>
        <v>0</v>
      </c>
      <c r="F5" s="77">
        <f>Data!F105</f>
        <v>0</v>
      </c>
      <c r="G5" s="78">
        <f t="shared" ref="G5:G42" si="0">D5+E5+F5</f>
        <v>0</v>
      </c>
      <c r="H5" s="79" t="e">
        <f t="shared" ref="H5:H42" si="1">G5/$G$43</f>
        <v>#REF!</v>
      </c>
    </row>
    <row r="6" spans="2:8" ht="14.4" x14ac:dyDescent="0.3">
      <c r="B6" s="87" t="s">
        <v>114</v>
      </c>
      <c r="C6" s="88"/>
      <c r="D6" s="77">
        <f>Data!D106</f>
        <v>1</v>
      </c>
      <c r="E6" s="77">
        <f>Data!E106</f>
        <v>0</v>
      </c>
      <c r="F6" s="77">
        <f>Data!F106</f>
        <v>0</v>
      </c>
      <c r="G6" s="78">
        <f t="shared" si="0"/>
        <v>1</v>
      </c>
      <c r="H6" s="79" t="e">
        <f t="shared" si="1"/>
        <v>#REF!</v>
      </c>
    </row>
    <row r="7" spans="2:8" ht="14.4" x14ac:dyDescent="0.3">
      <c r="B7" s="87" t="s">
        <v>115</v>
      </c>
      <c r="C7" s="88"/>
      <c r="D7" s="77">
        <f>Data!D107</f>
        <v>0</v>
      </c>
      <c r="E7" s="77">
        <f>Data!E107</f>
        <v>0</v>
      </c>
      <c r="F7" s="77">
        <f>Data!F107</f>
        <v>0</v>
      </c>
      <c r="G7" s="78">
        <f t="shared" si="0"/>
        <v>0</v>
      </c>
      <c r="H7" s="79" t="e">
        <f t="shared" si="1"/>
        <v>#REF!</v>
      </c>
    </row>
    <row r="8" spans="2:8" ht="14.4" x14ac:dyDescent="0.3">
      <c r="B8" s="87" t="s">
        <v>116</v>
      </c>
      <c r="C8" s="88"/>
      <c r="D8" s="77">
        <f>Data!D108</f>
        <v>0</v>
      </c>
      <c r="E8" s="77">
        <f>Data!E108</f>
        <v>0</v>
      </c>
      <c r="F8" s="77">
        <f>Data!F108</f>
        <v>0</v>
      </c>
      <c r="G8" s="78">
        <f t="shared" si="0"/>
        <v>0</v>
      </c>
      <c r="H8" s="79" t="e">
        <f t="shared" si="1"/>
        <v>#REF!</v>
      </c>
    </row>
    <row r="9" spans="2:8" ht="14.4" x14ac:dyDescent="0.3">
      <c r="B9" s="87" t="s">
        <v>44</v>
      </c>
      <c r="C9" s="88"/>
      <c r="D9" s="77">
        <f>Data!D109</f>
        <v>0</v>
      </c>
      <c r="E9" s="77">
        <f>Data!E109</f>
        <v>0</v>
      </c>
      <c r="F9" s="77">
        <f>Data!F109</f>
        <v>0</v>
      </c>
      <c r="G9" s="78">
        <f t="shared" si="0"/>
        <v>0</v>
      </c>
      <c r="H9" s="79" t="e">
        <f t="shared" si="1"/>
        <v>#REF!</v>
      </c>
    </row>
    <row r="10" spans="2:8" ht="14.4" x14ac:dyDescent="0.3">
      <c r="B10" s="96" t="s">
        <v>117</v>
      </c>
      <c r="C10" s="88"/>
      <c r="D10" s="80">
        <f t="shared" ref="D10:F10" si="2">SUM(D5:D9)</f>
        <v>1</v>
      </c>
      <c r="E10" s="80">
        <f t="shared" si="2"/>
        <v>0</v>
      </c>
      <c r="F10" s="80">
        <f t="shared" si="2"/>
        <v>0</v>
      </c>
      <c r="G10" s="78">
        <f t="shared" si="0"/>
        <v>1</v>
      </c>
      <c r="H10" s="79" t="e">
        <f t="shared" si="1"/>
        <v>#REF!</v>
      </c>
    </row>
    <row r="11" spans="2:8" ht="14.4" x14ac:dyDescent="0.3">
      <c r="B11" s="87" t="s">
        <v>118</v>
      </c>
      <c r="C11" s="88"/>
      <c r="D11" s="77">
        <f>Data!D111</f>
        <v>0</v>
      </c>
      <c r="E11" s="77">
        <f>Data!E111</f>
        <v>0</v>
      </c>
      <c r="F11" s="77">
        <f>Data!F111</f>
        <v>0</v>
      </c>
      <c r="G11" s="78">
        <f t="shared" si="0"/>
        <v>0</v>
      </c>
      <c r="H11" s="79" t="e">
        <f t="shared" si="1"/>
        <v>#REF!</v>
      </c>
    </row>
    <row r="12" spans="2:8" ht="14.4" x14ac:dyDescent="0.3">
      <c r="B12" s="87" t="s">
        <v>119</v>
      </c>
      <c r="C12" s="88"/>
      <c r="D12" s="77">
        <f>Data!D112</f>
        <v>35000</v>
      </c>
      <c r="E12" s="77">
        <f>Data!E112</f>
        <v>0</v>
      </c>
      <c r="F12" s="77">
        <f>Data!F112</f>
        <v>0</v>
      </c>
      <c r="G12" s="78">
        <f t="shared" si="0"/>
        <v>35000</v>
      </c>
      <c r="H12" s="79" t="e">
        <f t="shared" si="1"/>
        <v>#REF!</v>
      </c>
    </row>
    <row r="13" spans="2:8" ht="14.4" x14ac:dyDescent="0.3">
      <c r="B13" s="87" t="s">
        <v>120</v>
      </c>
      <c r="C13" s="88"/>
      <c r="D13" s="77">
        <f>Data!D113</f>
        <v>0</v>
      </c>
      <c r="E13" s="77">
        <f>Data!E113</f>
        <v>0</v>
      </c>
      <c r="F13" s="77">
        <f>Data!F113</f>
        <v>0</v>
      </c>
      <c r="G13" s="78">
        <f t="shared" si="0"/>
        <v>0</v>
      </c>
      <c r="H13" s="79" t="e">
        <f t="shared" si="1"/>
        <v>#REF!</v>
      </c>
    </row>
    <row r="14" spans="2:8" ht="14.4" x14ac:dyDescent="0.3">
      <c r="B14" s="96" t="s">
        <v>121</v>
      </c>
      <c r="C14" s="88"/>
      <c r="D14" s="80">
        <f t="shared" ref="D14:F14" si="3">SUM(D11:D13)</f>
        <v>35000</v>
      </c>
      <c r="E14" s="80">
        <f t="shared" si="3"/>
        <v>0</v>
      </c>
      <c r="F14" s="80">
        <f t="shared" si="3"/>
        <v>0</v>
      </c>
      <c r="G14" s="78">
        <f t="shared" si="0"/>
        <v>35000</v>
      </c>
      <c r="H14" s="79" t="e">
        <f t="shared" si="1"/>
        <v>#REF!</v>
      </c>
    </row>
    <row r="15" spans="2:8" ht="14.4" x14ac:dyDescent="0.3">
      <c r="B15" s="87" t="s">
        <v>122</v>
      </c>
      <c r="C15" s="88"/>
      <c r="D15" s="77">
        <f>Data!D115</f>
        <v>0</v>
      </c>
      <c r="E15" s="77">
        <f>Data!E115</f>
        <v>0</v>
      </c>
      <c r="F15" s="77">
        <f>Data!F115</f>
        <v>0</v>
      </c>
      <c r="G15" s="78">
        <f t="shared" si="0"/>
        <v>0</v>
      </c>
      <c r="H15" s="79" t="e">
        <f t="shared" si="1"/>
        <v>#REF!</v>
      </c>
    </row>
    <row r="16" spans="2:8" ht="14.4" x14ac:dyDescent="0.3">
      <c r="B16" s="87" t="s">
        <v>123</v>
      </c>
      <c r="C16" s="88"/>
      <c r="D16" s="77">
        <f>Data!D116</f>
        <v>0</v>
      </c>
      <c r="E16" s="77">
        <f>Data!E116</f>
        <v>0</v>
      </c>
      <c r="F16" s="77">
        <f>Data!F116</f>
        <v>0</v>
      </c>
      <c r="G16" s="78">
        <f t="shared" si="0"/>
        <v>0</v>
      </c>
      <c r="H16" s="79" t="e">
        <f t="shared" si="1"/>
        <v>#REF!</v>
      </c>
    </row>
    <row r="17" spans="2:8" ht="14.4" x14ac:dyDescent="0.3">
      <c r="B17" s="87" t="s">
        <v>124</v>
      </c>
      <c r="C17" s="88"/>
      <c r="D17" s="77">
        <f>Data!D117</f>
        <v>0</v>
      </c>
      <c r="E17" s="77">
        <f>Data!E117</f>
        <v>0</v>
      </c>
      <c r="F17" s="77">
        <f>Data!F117</f>
        <v>0</v>
      </c>
      <c r="G17" s="78">
        <f t="shared" si="0"/>
        <v>0</v>
      </c>
      <c r="H17" s="79" t="e">
        <f t="shared" si="1"/>
        <v>#REF!</v>
      </c>
    </row>
    <row r="18" spans="2:8" ht="14.4" x14ac:dyDescent="0.3">
      <c r="B18" s="87" t="s">
        <v>232</v>
      </c>
      <c r="C18" s="88"/>
      <c r="D18" s="77">
        <f>Data!D118</f>
        <v>0</v>
      </c>
      <c r="E18" s="77">
        <f>Data!E118</f>
        <v>0</v>
      </c>
      <c r="F18" s="77">
        <f>Data!F118</f>
        <v>0</v>
      </c>
      <c r="G18" s="78">
        <f t="shared" si="0"/>
        <v>0</v>
      </c>
      <c r="H18" s="79" t="e">
        <f t="shared" si="1"/>
        <v>#REF!</v>
      </c>
    </row>
    <row r="19" spans="2:8" ht="14.4" x14ac:dyDescent="0.3">
      <c r="B19" s="87" t="s">
        <v>233</v>
      </c>
      <c r="C19" s="88"/>
      <c r="D19" s="77">
        <f>Data!D119</f>
        <v>0</v>
      </c>
      <c r="E19" s="77">
        <f>Data!E119</f>
        <v>0</v>
      </c>
      <c r="F19" s="77">
        <f>Data!F119</f>
        <v>0</v>
      </c>
      <c r="G19" s="78">
        <f t="shared" si="0"/>
        <v>0</v>
      </c>
      <c r="H19" s="79" t="e">
        <f t="shared" si="1"/>
        <v>#REF!</v>
      </c>
    </row>
    <row r="20" spans="2:8" ht="14.4" x14ac:dyDescent="0.3">
      <c r="B20" s="87" t="s">
        <v>128</v>
      </c>
      <c r="C20" s="88"/>
      <c r="D20" s="77">
        <f>Data!D120</f>
        <v>0</v>
      </c>
      <c r="E20" s="77">
        <f>Data!E120</f>
        <v>0</v>
      </c>
      <c r="F20" s="77">
        <f>Data!F120</f>
        <v>0</v>
      </c>
      <c r="G20" s="78">
        <f t="shared" si="0"/>
        <v>0</v>
      </c>
      <c r="H20" s="79" t="e">
        <f t="shared" si="1"/>
        <v>#REF!</v>
      </c>
    </row>
    <row r="21" spans="2:8" ht="15.75" customHeight="1" x14ac:dyDescent="0.3">
      <c r="B21" s="87" t="s">
        <v>129</v>
      </c>
      <c r="C21" s="88"/>
      <c r="D21" s="77">
        <f>Data!D121</f>
        <v>0</v>
      </c>
      <c r="E21" s="77">
        <f>Data!E121</f>
        <v>0</v>
      </c>
      <c r="F21" s="77">
        <f>Data!F121</f>
        <v>0</v>
      </c>
      <c r="G21" s="78">
        <f t="shared" si="0"/>
        <v>0</v>
      </c>
      <c r="H21" s="79" t="e">
        <f t="shared" si="1"/>
        <v>#REF!</v>
      </c>
    </row>
    <row r="22" spans="2:8" ht="15.75" customHeight="1" x14ac:dyDescent="0.3">
      <c r="B22" s="87" t="s">
        <v>130</v>
      </c>
      <c r="C22" s="88"/>
      <c r="D22" s="77">
        <f>Data!D122</f>
        <v>0</v>
      </c>
      <c r="E22" s="77">
        <f>Data!E122</f>
        <v>0</v>
      </c>
      <c r="F22" s="77">
        <f>Data!F122</f>
        <v>0</v>
      </c>
      <c r="G22" s="78">
        <f t="shared" si="0"/>
        <v>0</v>
      </c>
      <c r="H22" s="79" t="e">
        <f t="shared" si="1"/>
        <v>#REF!</v>
      </c>
    </row>
    <row r="23" spans="2:8" ht="15.75" customHeight="1" x14ac:dyDescent="0.3">
      <c r="B23" s="87" t="s">
        <v>131</v>
      </c>
      <c r="C23" s="88"/>
      <c r="D23" s="77">
        <f>Data!D123</f>
        <v>0</v>
      </c>
      <c r="E23" s="77">
        <f>Data!E123</f>
        <v>0</v>
      </c>
      <c r="F23" s="77">
        <f>Data!F123</f>
        <v>0</v>
      </c>
      <c r="G23" s="78">
        <f t="shared" si="0"/>
        <v>0</v>
      </c>
      <c r="H23" s="79" t="e">
        <f t="shared" si="1"/>
        <v>#REF!</v>
      </c>
    </row>
    <row r="24" spans="2:8" ht="15.75" customHeight="1" x14ac:dyDescent="0.3">
      <c r="B24" s="87" t="s">
        <v>132</v>
      </c>
      <c r="C24" s="88"/>
      <c r="D24" s="77">
        <f>Data!D124</f>
        <v>0</v>
      </c>
      <c r="E24" s="77">
        <f>Data!E124</f>
        <v>0</v>
      </c>
      <c r="F24" s="77">
        <f>Data!F124</f>
        <v>0</v>
      </c>
      <c r="G24" s="78">
        <f t="shared" si="0"/>
        <v>0</v>
      </c>
      <c r="H24" s="79" t="e">
        <f t="shared" si="1"/>
        <v>#REF!</v>
      </c>
    </row>
    <row r="25" spans="2:8" ht="15.75" customHeight="1" x14ac:dyDescent="0.3">
      <c r="B25" s="87" t="s">
        <v>133</v>
      </c>
      <c r="C25" s="88"/>
      <c r="D25" s="77">
        <f>Data!D125</f>
        <v>0</v>
      </c>
      <c r="E25" s="77">
        <f>Data!E125</f>
        <v>0</v>
      </c>
      <c r="F25" s="77">
        <f>Data!F125</f>
        <v>0</v>
      </c>
      <c r="G25" s="78">
        <f t="shared" si="0"/>
        <v>0</v>
      </c>
      <c r="H25" s="79" t="e">
        <f t="shared" si="1"/>
        <v>#REF!</v>
      </c>
    </row>
    <row r="26" spans="2:8" ht="15.75" customHeight="1" x14ac:dyDescent="0.3">
      <c r="B26" s="87" t="s">
        <v>134</v>
      </c>
      <c r="C26" s="88"/>
      <c r="D26" s="77">
        <f>Data!D126</f>
        <v>0</v>
      </c>
      <c r="E26" s="77">
        <f>Data!E126</f>
        <v>0</v>
      </c>
      <c r="F26" s="77">
        <f>Data!F126</f>
        <v>0</v>
      </c>
      <c r="G26" s="78">
        <f t="shared" si="0"/>
        <v>0</v>
      </c>
      <c r="H26" s="79" t="e">
        <f t="shared" si="1"/>
        <v>#REF!</v>
      </c>
    </row>
    <row r="27" spans="2:8" ht="15.75" customHeight="1" x14ac:dyDescent="0.3">
      <c r="B27" s="87" t="s">
        <v>135</v>
      </c>
      <c r="C27" s="88"/>
      <c r="D27" s="77">
        <f>Data!D127</f>
        <v>0</v>
      </c>
      <c r="E27" s="77">
        <f>Data!E127</f>
        <v>0</v>
      </c>
      <c r="F27" s="77">
        <f>Data!F127</f>
        <v>0</v>
      </c>
      <c r="G27" s="78">
        <f t="shared" si="0"/>
        <v>0</v>
      </c>
      <c r="H27" s="79" t="e">
        <f t="shared" si="1"/>
        <v>#REF!</v>
      </c>
    </row>
    <row r="28" spans="2:8" ht="15.75" customHeight="1" x14ac:dyDescent="0.3">
      <c r="B28" s="87" t="s">
        <v>136</v>
      </c>
      <c r="C28" s="88"/>
      <c r="D28" s="77">
        <f>Data!D128</f>
        <v>0</v>
      </c>
      <c r="E28" s="77">
        <f>Data!E128</f>
        <v>0</v>
      </c>
      <c r="F28" s="77">
        <f>Data!F128</f>
        <v>0</v>
      </c>
      <c r="G28" s="78">
        <f t="shared" si="0"/>
        <v>0</v>
      </c>
      <c r="H28" s="79" t="e">
        <f t="shared" si="1"/>
        <v>#REF!</v>
      </c>
    </row>
    <row r="29" spans="2:8" ht="15.75" customHeight="1" x14ac:dyDescent="0.3">
      <c r="B29" s="87" t="s">
        <v>137</v>
      </c>
      <c r="C29" s="88"/>
      <c r="D29" s="77">
        <f>Data!D129</f>
        <v>0</v>
      </c>
      <c r="E29" s="77">
        <f>Data!E129</f>
        <v>0</v>
      </c>
      <c r="F29" s="77">
        <f>Data!F129</f>
        <v>0</v>
      </c>
      <c r="G29" s="78">
        <f t="shared" si="0"/>
        <v>0</v>
      </c>
      <c r="H29" s="79" t="e">
        <f t="shared" si="1"/>
        <v>#REF!</v>
      </c>
    </row>
    <row r="30" spans="2:8" ht="15.75" customHeight="1" x14ac:dyDescent="0.3">
      <c r="B30" s="96" t="s">
        <v>138</v>
      </c>
      <c r="C30" s="88"/>
      <c r="D30" s="80">
        <f t="shared" ref="D30:F30" si="4">SUM(D15:D29)</f>
        <v>0</v>
      </c>
      <c r="E30" s="80">
        <f t="shared" si="4"/>
        <v>0</v>
      </c>
      <c r="F30" s="80">
        <f t="shared" si="4"/>
        <v>0</v>
      </c>
      <c r="G30" s="78">
        <f t="shared" si="0"/>
        <v>0</v>
      </c>
      <c r="H30" s="79" t="e">
        <f t="shared" si="1"/>
        <v>#REF!</v>
      </c>
    </row>
    <row r="31" spans="2:8" ht="15.75" customHeight="1" x14ac:dyDescent="0.3">
      <c r="B31" s="87" t="s">
        <v>140</v>
      </c>
      <c r="C31" s="88"/>
      <c r="D31" s="77">
        <f>Data!D132</f>
        <v>0</v>
      </c>
      <c r="E31" s="77">
        <f>Data!E132</f>
        <v>0</v>
      </c>
      <c r="F31" s="77">
        <f>Data!F132</f>
        <v>0</v>
      </c>
      <c r="G31" s="78">
        <f t="shared" si="0"/>
        <v>0</v>
      </c>
      <c r="H31" s="79" t="e">
        <f t="shared" si="1"/>
        <v>#REF!</v>
      </c>
    </row>
    <row r="32" spans="2:8" ht="15.75" customHeight="1" x14ac:dyDescent="0.3">
      <c r="B32" s="87" t="s">
        <v>141</v>
      </c>
      <c r="C32" s="88"/>
      <c r="D32" s="77">
        <f>Data!D133</f>
        <v>0</v>
      </c>
      <c r="E32" s="77">
        <f>Data!E133</f>
        <v>0</v>
      </c>
      <c r="F32" s="77">
        <f>Data!F133</f>
        <v>0</v>
      </c>
      <c r="G32" s="78">
        <f t="shared" si="0"/>
        <v>0</v>
      </c>
      <c r="H32" s="79" t="e">
        <f t="shared" si="1"/>
        <v>#REF!</v>
      </c>
    </row>
    <row r="33" spans="2:8" ht="15.75" customHeight="1" x14ac:dyDescent="0.3">
      <c r="B33" s="87" t="s">
        <v>143</v>
      </c>
      <c r="C33" s="88"/>
      <c r="D33" s="77">
        <f>Data!D135</f>
        <v>133000</v>
      </c>
      <c r="E33" s="77">
        <f>Data!E135</f>
        <v>0</v>
      </c>
      <c r="F33" s="77">
        <f>Data!F135</f>
        <v>0</v>
      </c>
      <c r="G33" s="78">
        <f t="shared" si="0"/>
        <v>133000</v>
      </c>
      <c r="H33" s="79" t="e">
        <f t="shared" si="1"/>
        <v>#REF!</v>
      </c>
    </row>
    <row r="34" spans="2:8" ht="15.75" customHeight="1" x14ac:dyDescent="0.3">
      <c r="B34" s="87" t="s">
        <v>145</v>
      </c>
      <c r="C34" s="88"/>
      <c r="D34" s="77">
        <f>Data!D137</f>
        <v>0</v>
      </c>
      <c r="E34" s="77">
        <f>Data!E137</f>
        <v>0</v>
      </c>
      <c r="F34" s="77">
        <f>Data!F137</f>
        <v>0</v>
      </c>
      <c r="G34" s="78">
        <f t="shared" si="0"/>
        <v>0</v>
      </c>
      <c r="H34" s="79" t="e">
        <f t="shared" si="1"/>
        <v>#REF!</v>
      </c>
    </row>
    <row r="35" spans="2:8" ht="15.75" customHeight="1" x14ac:dyDescent="0.3">
      <c r="B35" s="87" t="s">
        <v>146</v>
      </c>
      <c r="C35" s="88"/>
      <c r="D35" s="77">
        <f>Data!D138</f>
        <v>6500</v>
      </c>
      <c r="E35" s="77">
        <f>Data!E138</f>
        <v>0</v>
      </c>
      <c r="F35" s="77">
        <f>Data!F138</f>
        <v>0</v>
      </c>
      <c r="G35" s="78">
        <f t="shared" si="0"/>
        <v>6500</v>
      </c>
      <c r="H35" s="79" t="e">
        <f t="shared" si="1"/>
        <v>#REF!</v>
      </c>
    </row>
    <row r="36" spans="2:8" ht="15.75" customHeight="1" x14ac:dyDescent="0.3">
      <c r="B36" s="87" t="s">
        <v>143</v>
      </c>
      <c r="C36" s="88"/>
      <c r="D36" s="77" t="e">
        <f>Data!#REF!</f>
        <v>#REF!</v>
      </c>
      <c r="E36" s="77" t="e">
        <f>Data!#REF!</f>
        <v>#REF!</v>
      </c>
      <c r="F36" s="77" t="e">
        <f>Data!#REF!</f>
        <v>#REF!</v>
      </c>
      <c r="G36" s="78" t="e">
        <f t="shared" si="0"/>
        <v>#REF!</v>
      </c>
      <c r="H36" s="79" t="e">
        <f t="shared" si="1"/>
        <v>#REF!</v>
      </c>
    </row>
    <row r="37" spans="2:8" ht="15.75" customHeight="1" x14ac:dyDescent="0.3">
      <c r="B37" s="87" t="s">
        <v>147</v>
      </c>
      <c r="C37" s="88"/>
      <c r="D37" s="77">
        <f>Data!D139</f>
        <v>0</v>
      </c>
      <c r="E37" s="77">
        <f>Data!E139</f>
        <v>0</v>
      </c>
      <c r="F37" s="77">
        <f>Data!F139</f>
        <v>0</v>
      </c>
      <c r="G37" s="78">
        <f t="shared" si="0"/>
        <v>0</v>
      </c>
      <c r="H37" s="79" t="e">
        <f t="shared" si="1"/>
        <v>#REF!</v>
      </c>
    </row>
    <row r="38" spans="2:8" ht="15.75" customHeight="1" x14ac:dyDescent="0.3">
      <c r="B38" s="96" t="s">
        <v>148</v>
      </c>
      <c r="C38" s="88"/>
      <c r="D38" s="80" t="e">
        <f t="shared" ref="D38:F38" si="5">SUM(D31:D37)</f>
        <v>#REF!</v>
      </c>
      <c r="E38" s="80" t="e">
        <f t="shared" si="5"/>
        <v>#REF!</v>
      </c>
      <c r="F38" s="80" t="e">
        <f t="shared" si="5"/>
        <v>#REF!</v>
      </c>
      <c r="G38" s="78" t="e">
        <f t="shared" si="0"/>
        <v>#REF!</v>
      </c>
      <c r="H38" s="79" t="e">
        <f t="shared" si="1"/>
        <v>#REF!</v>
      </c>
    </row>
    <row r="39" spans="2:8" ht="15.75" customHeight="1" x14ac:dyDescent="0.3">
      <c r="B39" s="96" t="s">
        <v>149</v>
      </c>
      <c r="C39" s="88"/>
      <c r="D39" s="77">
        <f>Data!D141</f>
        <v>0</v>
      </c>
      <c r="E39" s="77">
        <f>Data!E141</f>
        <v>0</v>
      </c>
      <c r="F39" s="77">
        <f>Data!F141</f>
        <v>0</v>
      </c>
      <c r="G39" s="78">
        <f t="shared" si="0"/>
        <v>0</v>
      </c>
      <c r="H39" s="79" t="e">
        <f t="shared" si="1"/>
        <v>#REF!</v>
      </c>
    </row>
    <row r="40" spans="2:8" ht="15.75" customHeight="1" x14ac:dyDescent="0.3">
      <c r="B40" s="96" t="s">
        <v>150</v>
      </c>
      <c r="C40" s="88"/>
      <c r="D40" s="77">
        <f>Data!D142</f>
        <v>0</v>
      </c>
      <c r="E40" s="77">
        <f>Data!E142</f>
        <v>0</v>
      </c>
      <c r="F40" s="77">
        <f>Data!F142</f>
        <v>0</v>
      </c>
      <c r="G40" s="78">
        <f t="shared" si="0"/>
        <v>0</v>
      </c>
      <c r="H40" s="79" t="e">
        <f t="shared" si="1"/>
        <v>#REF!</v>
      </c>
    </row>
    <row r="41" spans="2:8" ht="15.75" customHeight="1" x14ac:dyDescent="0.3">
      <c r="B41" s="96" t="s">
        <v>151</v>
      </c>
      <c r="C41" s="88"/>
      <c r="D41" s="77">
        <f>Data!D143</f>
        <v>0</v>
      </c>
      <c r="E41" s="77">
        <f>Data!E143</f>
        <v>0</v>
      </c>
      <c r="F41" s="77">
        <f>Data!F143</f>
        <v>0</v>
      </c>
      <c r="G41" s="78">
        <f t="shared" si="0"/>
        <v>0</v>
      </c>
      <c r="H41" s="79" t="e">
        <f t="shared" si="1"/>
        <v>#REF!</v>
      </c>
    </row>
    <row r="42" spans="2:8" ht="15.75" customHeight="1" x14ac:dyDescent="0.3">
      <c r="B42" s="96" t="s">
        <v>152</v>
      </c>
      <c r="C42" s="88"/>
      <c r="D42" s="77">
        <f>Data!D144</f>
        <v>0</v>
      </c>
      <c r="E42" s="77">
        <f>Data!E144</f>
        <v>0</v>
      </c>
      <c r="F42" s="77">
        <f>Data!F144</f>
        <v>0</v>
      </c>
      <c r="G42" s="78">
        <f t="shared" si="0"/>
        <v>0</v>
      </c>
      <c r="H42" s="79" t="e">
        <f t="shared" si="1"/>
        <v>#REF!</v>
      </c>
    </row>
    <row r="43" spans="2:8" ht="15.75" customHeight="1" x14ac:dyDescent="0.25">
      <c r="B43" s="92" t="s">
        <v>153</v>
      </c>
      <c r="C43" s="88"/>
      <c r="D43" s="81" t="e">
        <f t="shared" ref="D43:H43" si="6">SUM(D38:D42,D30,D14)</f>
        <v>#REF!</v>
      </c>
      <c r="E43" s="81" t="e">
        <f t="shared" si="6"/>
        <v>#REF!</v>
      </c>
      <c r="F43" s="81" t="e">
        <f t="shared" si="6"/>
        <v>#REF!</v>
      </c>
      <c r="G43" s="28" t="e">
        <f t="shared" si="6"/>
        <v>#REF!</v>
      </c>
      <c r="H43" s="82" t="e">
        <f t="shared" si="6"/>
        <v>#REF!</v>
      </c>
    </row>
    <row r="44" spans="2:8" ht="15.75" customHeight="1" x14ac:dyDescent="0.25"/>
    <row r="45" spans="2:8" ht="15.75" customHeight="1" x14ac:dyDescent="0.25"/>
    <row r="46" spans="2:8" ht="15.75" customHeight="1" x14ac:dyDescent="0.25"/>
    <row r="47" spans="2:8" ht="15.75" customHeight="1" x14ac:dyDescent="0.25">
      <c r="B47" s="89" t="s">
        <v>154</v>
      </c>
      <c r="C47" s="86"/>
      <c r="D47" s="86"/>
      <c r="E47" s="86"/>
      <c r="F47" s="86"/>
    </row>
    <row r="48" spans="2:8" ht="15.75" customHeight="1" x14ac:dyDescent="0.25">
      <c r="B48" s="32" t="s">
        <v>3</v>
      </c>
      <c r="C48" s="33" t="s">
        <v>155</v>
      </c>
      <c r="D48" s="34" t="s">
        <v>156</v>
      </c>
      <c r="E48" s="34" t="s">
        <v>157</v>
      </c>
      <c r="F48" s="34" t="s">
        <v>158</v>
      </c>
    </row>
    <row r="49" spans="2:6" ht="15.75" customHeight="1" x14ac:dyDescent="0.25">
      <c r="B49" s="31" t="s">
        <v>159</v>
      </c>
      <c r="C49" s="17"/>
      <c r="D49" s="35"/>
      <c r="E49" s="21"/>
      <c r="F49" s="17"/>
    </row>
    <row r="50" spans="2:6" ht="15.75" customHeight="1" x14ac:dyDescent="0.25">
      <c r="B50" s="31" t="s">
        <v>160</v>
      </c>
      <c r="C50" s="17"/>
      <c r="D50" s="36"/>
      <c r="E50" s="21"/>
      <c r="F50" s="17"/>
    </row>
    <row r="51" spans="2:6" ht="15.75" customHeight="1" x14ac:dyDescent="0.25">
      <c r="B51" s="31" t="s">
        <v>161</v>
      </c>
      <c r="C51" s="17"/>
      <c r="D51" s="36"/>
      <c r="E51" s="21"/>
      <c r="F51" s="17"/>
    </row>
    <row r="52" spans="2:6" ht="15.75" customHeight="1" x14ac:dyDescent="0.25"/>
    <row r="53" spans="2:6" ht="15.75" customHeight="1" x14ac:dyDescent="0.25"/>
    <row r="54" spans="2:6" ht="15.75" customHeight="1" x14ac:dyDescent="0.25"/>
    <row r="55" spans="2:6" ht="15.75" customHeight="1" x14ac:dyDescent="0.25"/>
    <row r="56" spans="2:6" ht="15.75" customHeight="1" x14ac:dyDescent="0.25"/>
    <row r="57" spans="2:6" ht="15.75" customHeight="1" x14ac:dyDescent="0.25"/>
    <row r="58" spans="2:6" ht="15.75" customHeight="1" x14ac:dyDescent="0.25"/>
    <row r="59" spans="2:6" ht="15.75" customHeight="1" x14ac:dyDescent="0.25"/>
    <row r="60" spans="2:6" ht="15.75" customHeight="1" x14ac:dyDescent="0.25"/>
    <row r="61" spans="2:6" ht="15.75" customHeight="1" x14ac:dyDescent="0.25"/>
    <row r="62" spans="2:6" ht="15.75" customHeight="1" x14ac:dyDescent="0.25"/>
    <row r="63" spans="2:6" ht="15.75" customHeight="1" x14ac:dyDescent="0.25"/>
    <row r="64" spans="2: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B3:F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8:C38"/>
    <mergeCell ref="B39:C39"/>
    <mergeCell ref="B31:C31"/>
    <mergeCell ref="B32:C32"/>
    <mergeCell ref="B33:C33"/>
    <mergeCell ref="B34:C34"/>
    <mergeCell ref="B35:C35"/>
    <mergeCell ref="B36:C36"/>
    <mergeCell ref="B37:C37"/>
    <mergeCell ref="B40:C40"/>
    <mergeCell ref="B41:C41"/>
    <mergeCell ref="B42:C42"/>
    <mergeCell ref="B43:C43"/>
    <mergeCell ref="B47:F47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Salary Breakdown</vt:lpstr>
      <vt:lpstr>Investments</vt:lpstr>
      <vt:lpstr>Insurance</vt:lpstr>
      <vt:lpstr>Credit Cards</vt:lpstr>
      <vt:lpstr>net worth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Tivesh Shah</dc:creator>
  <cp:lastModifiedBy>Parth Lalit</cp:lastModifiedBy>
  <dcterms:created xsi:type="dcterms:W3CDTF">2017-12-05T14:15:54Z</dcterms:created>
  <dcterms:modified xsi:type="dcterms:W3CDTF">2026-03-04T21:09:22Z</dcterms:modified>
</cp:coreProperties>
</file>